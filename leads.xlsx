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mit\Desktop\"/>
    </mc:Choice>
  </mc:AlternateContent>
  <xr:revisionPtr revIDLastSave="0" documentId="13_ncr:1_{F1A6B0FD-E0AB-474B-91BF-2A67D9C35EFE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5" i="1" l="1"/>
  <c r="K125" i="1" s="1"/>
  <c r="J124" i="1"/>
  <c r="K124" i="1" s="1"/>
  <c r="J123" i="1"/>
  <c r="K123" i="1" s="1"/>
  <c r="J122" i="1"/>
  <c r="K122" i="1" s="1"/>
  <c r="J121" i="1"/>
  <c r="K121" i="1" s="1"/>
  <c r="J120" i="1"/>
  <c r="K120" i="1" s="1"/>
  <c r="F120" i="1"/>
  <c r="J119" i="1"/>
  <c r="K119" i="1" s="1"/>
  <c r="F119" i="1"/>
  <c r="J118" i="1"/>
  <c r="K118" i="1" s="1"/>
  <c r="F118" i="1"/>
  <c r="J117" i="1"/>
  <c r="K117" i="1" s="1"/>
  <c r="F117" i="1"/>
  <c r="J116" i="1"/>
  <c r="K116" i="1" s="1"/>
  <c r="F116" i="1"/>
  <c r="J115" i="1"/>
  <c r="K115" i="1" s="1"/>
  <c r="F115" i="1"/>
  <c r="J114" i="1"/>
  <c r="K114" i="1" s="1"/>
  <c r="F114" i="1"/>
  <c r="J113" i="1"/>
  <c r="K113" i="1" s="1"/>
  <c r="F113" i="1"/>
  <c r="J112" i="1"/>
  <c r="K112" i="1" s="1"/>
  <c r="F112" i="1"/>
  <c r="J111" i="1"/>
  <c r="K111" i="1" s="1"/>
  <c r="F111" i="1"/>
  <c r="I102" i="1"/>
  <c r="I103" i="1" s="1"/>
  <c r="I104" i="1" s="1"/>
  <c r="I105" i="1" s="1"/>
  <c r="I106" i="1" s="1"/>
  <c r="I107" i="1" s="1"/>
  <c r="I108" i="1" s="1"/>
  <c r="I109" i="1" s="1"/>
  <c r="I110" i="1" s="1"/>
  <c r="H102" i="1"/>
  <c r="H103" i="1" s="1"/>
  <c r="H104" i="1" s="1"/>
  <c r="H105" i="1" s="1"/>
  <c r="H106" i="1" s="1"/>
  <c r="H107" i="1" s="1"/>
  <c r="H108" i="1" s="1"/>
  <c r="H109" i="1" s="1"/>
  <c r="H110" i="1" s="1"/>
  <c r="G102" i="1"/>
  <c r="G103" i="1" s="1"/>
  <c r="E102" i="1"/>
  <c r="E103" i="1" s="1"/>
  <c r="E104" i="1" s="1"/>
  <c r="E105" i="1" s="1"/>
  <c r="E106" i="1" s="1"/>
  <c r="E107" i="1" s="1"/>
  <c r="E108" i="1" s="1"/>
  <c r="E109" i="1" s="1"/>
  <c r="E110" i="1" s="1"/>
  <c r="D102" i="1"/>
  <c r="D103" i="1" s="1"/>
  <c r="D104" i="1" s="1"/>
  <c r="D105" i="1" s="1"/>
  <c r="D106" i="1" s="1"/>
  <c r="D107" i="1" s="1"/>
  <c r="D108" i="1" s="1"/>
  <c r="D109" i="1" s="1"/>
  <c r="D110" i="1" s="1"/>
  <c r="C102" i="1"/>
  <c r="C103" i="1" s="1"/>
  <c r="B102" i="1"/>
  <c r="B103" i="1" s="1"/>
  <c r="B104" i="1" s="1"/>
  <c r="B105" i="1" s="1"/>
  <c r="B106" i="1" s="1"/>
  <c r="B107" i="1" s="1"/>
  <c r="B108" i="1" s="1"/>
  <c r="B109" i="1" s="1"/>
  <c r="B110" i="1" s="1"/>
  <c r="J101" i="1"/>
  <c r="K101" i="1" s="1"/>
  <c r="F101" i="1"/>
  <c r="I92" i="1"/>
  <c r="I93" i="1" s="1"/>
  <c r="I94" i="1" s="1"/>
  <c r="I95" i="1" s="1"/>
  <c r="I96" i="1" s="1"/>
  <c r="I97" i="1" s="1"/>
  <c r="I98" i="1" s="1"/>
  <c r="I99" i="1" s="1"/>
  <c r="I100" i="1" s="1"/>
  <c r="H92" i="1"/>
  <c r="H93" i="1" s="1"/>
  <c r="H94" i="1" s="1"/>
  <c r="H95" i="1" s="1"/>
  <c r="H96" i="1" s="1"/>
  <c r="H97" i="1" s="1"/>
  <c r="H98" i="1" s="1"/>
  <c r="H99" i="1" s="1"/>
  <c r="H100" i="1" s="1"/>
  <c r="G92" i="1"/>
  <c r="G93" i="1" s="1"/>
  <c r="E92" i="1"/>
  <c r="E93" i="1" s="1"/>
  <c r="E94" i="1" s="1"/>
  <c r="E95" i="1" s="1"/>
  <c r="E96" i="1" s="1"/>
  <c r="E97" i="1" s="1"/>
  <c r="E98" i="1" s="1"/>
  <c r="E99" i="1" s="1"/>
  <c r="E100" i="1" s="1"/>
  <c r="D92" i="1"/>
  <c r="D93" i="1" s="1"/>
  <c r="D94" i="1" s="1"/>
  <c r="D95" i="1" s="1"/>
  <c r="D96" i="1" s="1"/>
  <c r="D97" i="1" s="1"/>
  <c r="D98" i="1" s="1"/>
  <c r="D99" i="1" s="1"/>
  <c r="D100" i="1" s="1"/>
  <c r="C92" i="1"/>
  <c r="C93" i="1" s="1"/>
  <c r="B92" i="1"/>
  <c r="B93" i="1" s="1"/>
  <c r="B94" i="1" s="1"/>
  <c r="B95" i="1" s="1"/>
  <c r="B96" i="1" s="1"/>
  <c r="B97" i="1" s="1"/>
  <c r="B98" i="1" s="1"/>
  <c r="B99" i="1" s="1"/>
  <c r="B100" i="1" s="1"/>
  <c r="J91" i="1"/>
  <c r="K91" i="1" s="1"/>
  <c r="F91" i="1"/>
  <c r="I82" i="1"/>
  <c r="I83" i="1" s="1"/>
  <c r="I84" i="1" s="1"/>
  <c r="I85" i="1" s="1"/>
  <c r="I86" i="1" s="1"/>
  <c r="I87" i="1" s="1"/>
  <c r="I88" i="1" s="1"/>
  <c r="I89" i="1" s="1"/>
  <c r="I90" i="1" s="1"/>
  <c r="H82" i="1"/>
  <c r="H83" i="1" s="1"/>
  <c r="H84" i="1" s="1"/>
  <c r="H85" i="1" s="1"/>
  <c r="H86" i="1" s="1"/>
  <c r="H87" i="1" s="1"/>
  <c r="H88" i="1" s="1"/>
  <c r="H89" i="1" s="1"/>
  <c r="H90" i="1" s="1"/>
  <c r="G82" i="1"/>
  <c r="E82" i="1"/>
  <c r="E83" i="1" s="1"/>
  <c r="E84" i="1" s="1"/>
  <c r="E85" i="1" s="1"/>
  <c r="E86" i="1" s="1"/>
  <c r="E87" i="1" s="1"/>
  <c r="E88" i="1" s="1"/>
  <c r="E89" i="1" s="1"/>
  <c r="E90" i="1" s="1"/>
  <c r="D82" i="1"/>
  <c r="D83" i="1" s="1"/>
  <c r="D84" i="1" s="1"/>
  <c r="D85" i="1" s="1"/>
  <c r="D86" i="1" s="1"/>
  <c r="D87" i="1" s="1"/>
  <c r="D88" i="1" s="1"/>
  <c r="D89" i="1" s="1"/>
  <c r="D90" i="1" s="1"/>
  <c r="C82" i="1"/>
  <c r="C83" i="1" s="1"/>
  <c r="F83" i="1" s="1"/>
  <c r="B82" i="1"/>
  <c r="B83" i="1" s="1"/>
  <c r="B84" i="1" s="1"/>
  <c r="B85" i="1" s="1"/>
  <c r="B86" i="1" s="1"/>
  <c r="B87" i="1" s="1"/>
  <c r="B88" i="1" s="1"/>
  <c r="B89" i="1" s="1"/>
  <c r="B90" i="1" s="1"/>
  <c r="J81" i="1"/>
  <c r="K81" i="1" s="1"/>
  <c r="F81" i="1"/>
  <c r="I72" i="1"/>
  <c r="I73" i="1" s="1"/>
  <c r="I74" i="1" s="1"/>
  <c r="I75" i="1" s="1"/>
  <c r="I76" i="1" s="1"/>
  <c r="I77" i="1" s="1"/>
  <c r="I78" i="1" s="1"/>
  <c r="I79" i="1" s="1"/>
  <c r="I80" i="1" s="1"/>
  <c r="H72" i="1"/>
  <c r="H73" i="1" s="1"/>
  <c r="H74" i="1" s="1"/>
  <c r="H75" i="1" s="1"/>
  <c r="H76" i="1" s="1"/>
  <c r="H77" i="1" s="1"/>
  <c r="H78" i="1" s="1"/>
  <c r="H79" i="1" s="1"/>
  <c r="H80" i="1" s="1"/>
  <c r="G72" i="1"/>
  <c r="J72" i="1" s="1"/>
  <c r="K72" i="1" s="1"/>
  <c r="E72" i="1"/>
  <c r="E73" i="1" s="1"/>
  <c r="E74" i="1" s="1"/>
  <c r="E75" i="1" s="1"/>
  <c r="E76" i="1" s="1"/>
  <c r="E77" i="1" s="1"/>
  <c r="E78" i="1" s="1"/>
  <c r="E79" i="1" s="1"/>
  <c r="E80" i="1" s="1"/>
  <c r="D72" i="1"/>
  <c r="D73" i="1" s="1"/>
  <c r="D74" i="1" s="1"/>
  <c r="D75" i="1" s="1"/>
  <c r="D76" i="1" s="1"/>
  <c r="D77" i="1" s="1"/>
  <c r="D78" i="1" s="1"/>
  <c r="D79" i="1" s="1"/>
  <c r="D80" i="1" s="1"/>
  <c r="C72" i="1"/>
  <c r="B72" i="1"/>
  <c r="B73" i="1" s="1"/>
  <c r="B74" i="1" s="1"/>
  <c r="B75" i="1" s="1"/>
  <c r="B76" i="1" s="1"/>
  <c r="B77" i="1" s="1"/>
  <c r="B78" i="1" s="1"/>
  <c r="B79" i="1" s="1"/>
  <c r="B80" i="1" s="1"/>
  <c r="J71" i="1"/>
  <c r="K71" i="1" s="1"/>
  <c r="F71" i="1"/>
  <c r="I62" i="1"/>
  <c r="I63" i="1" s="1"/>
  <c r="I64" i="1" s="1"/>
  <c r="I65" i="1" s="1"/>
  <c r="I66" i="1" s="1"/>
  <c r="I67" i="1" s="1"/>
  <c r="I68" i="1" s="1"/>
  <c r="I69" i="1" s="1"/>
  <c r="I70" i="1" s="1"/>
  <c r="H62" i="1"/>
  <c r="H63" i="1" s="1"/>
  <c r="H64" i="1" s="1"/>
  <c r="H65" i="1" s="1"/>
  <c r="H66" i="1" s="1"/>
  <c r="H67" i="1" s="1"/>
  <c r="H68" i="1" s="1"/>
  <c r="H69" i="1" s="1"/>
  <c r="H70" i="1" s="1"/>
  <c r="G62" i="1"/>
  <c r="G63" i="1" s="1"/>
  <c r="E62" i="1"/>
  <c r="E63" i="1" s="1"/>
  <c r="E64" i="1" s="1"/>
  <c r="E65" i="1" s="1"/>
  <c r="E66" i="1" s="1"/>
  <c r="E67" i="1" s="1"/>
  <c r="E68" i="1" s="1"/>
  <c r="E69" i="1" s="1"/>
  <c r="E70" i="1" s="1"/>
  <c r="D62" i="1"/>
  <c r="D63" i="1" s="1"/>
  <c r="D64" i="1" s="1"/>
  <c r="D65" i="1" s="1"/>
  <c r="D66" i="1" s="1"/>
  <c r="D67" i="1" s="1"/>
  <c r="D68" i="1" s="1"/>
  <c r="D69" i="1" s="1"/>
  <c r="D70" i="1" s="1"/>
  <c r="C62" i="1"/>
  <c r="F62" i="1" s="1"/>
  <c r="B62" i="1"/>
  <c r="B63" i="1" s="1"/>
  <c r="B64" i="1" s="1"/>
  <c r="B65" i="1" s="1"/>
  <c r="B66" i="1" s="1"/>
  <c r="B67" i="1" s="1"/>
  <c r="B68" i="1" s="1"/>
  <c r="B69" i="1" s="1"/>
  <c r="B70" i="1" s="1"/>
  <c r="J61" i="1"/>
  <c r="K61" i="1" s="1"/>
  <c r="F61" i="1"/>
  <c r="I57" i="1"/>
  <c r="I58" i="1" s="1"/>
  <c r="I59" i="1" s="1"/>
  <c r="I60" i="1" s="1"/>
  <c r="H57" i="1"/>
  <c r="H58" i="1" s="1"/>
  <c r="H59" i="1" s="1"/>
  <c r="H60" i="1" s="1"/>
  <c r="G57" i="1"/>
  <c r="G58" i="1" s="1"/>
  <c r="J58" i="1" s="1"/>
  <c r="K58" i="1" s="1"/>
  <c r="E57" i="1"/>
  <c r="E58" i="1" s="1"/>
  <c r="E59" i="1" s="1"/>
  <c r="E60" i="1" s="1"/>
  <c r="D57" i="1"/>
  <c r="D58" i="1" s="1"/>
  <c r="D59" i="1" s="1"/>
  <c r="D60" i="1" s="1"/>
  <c r="C57" i="1"/>
  <c r="F57" i="1" s="1"/>
  <c r="B57" i="1"/>
  <c r="B58" i="1" s="1"/>
  <c r="B59" i="1" s="1"/>
  <c r="B60" i="1" s="1"/>
  <c r="J56" i="1"/>
  <c r="K56" i="1" s="1"/>
  <c r="F56" i="1"/>
  <c r="I52" i="1"/>
  <c r="I53" i="1" s="1"/>
  <c r="I54" i="1" s="1"/>
  <c r="I55" i="1" s="1"/>
  <c r="H52" i="1"/>
  <c r="H53" i="1" s="1"/>
  <c r="H54" i="1" s="1"/>
  <c r="H55" i="1" s="1"/>
  <c r="G52" i="1"/>
  <c r="E52" i="1"/>
  <c r="E53" i="1" s="1"/>
  <c r="E54" i="1" s="1"/>
  <c r="E55" i="1" s="1"/>
  <c r="D52" i="1"/>
  <c r="D53" i="1" s="1"/>
  <c r="D54" i="1" s="1"/>
  <c r="D55" i="1" s="1"/>
  <c r="C52" i="1"/>
  <c r="C53" i="1" s="1"/>
  <c r="F53" i="1" s="1"/>
  <c r="B52" i="1"/>
  <c r="B53" i="1" s="1"/>
  <c r="B54" i="1" s="1"/>
  <c r="B55" i="1" s="1"/>
  <c r="J51" i="1"/>
  <c r="K51" i="1" s="1"/>
  <c r="F51" i="1"/>
  <c r="I47" i="1"/>
  <c r="I48" i="1" s="1"/>
  <c r="I49" i="1" s="1"/>
  <c r="I50" i="1" s="1"/>
  <c r="H47" i="1"/>
  <c r="H48" i="1" s="1"/>
  <c r="H49" i="1" s="1"/>
  <c r="H50" i="1" s="1"/>
  <c r="G47" i="1"/>
  <c r="J47" i="1" s="1"/>
  <c r="K47" i="1" s="1"/>
  <c r="E47" i="1"/>
  <c r="E48" i="1" s="1"/>
  <c r="E49" i="1" s="1"/>
  <c r="E50" i="1" s="1"/>
  <c r="D47" i="1"/>
  <c r="D48" i="1" s="1"/>
  <c r="D49" i="1" s="1"/>
  <c r="D50" i="1" s="1"/>
  <c r="C47" i="1"/>
  <c r="B47" i="1"/>
  <c r="B48" i="1" s="1"/>
  <c r="B49" i="1" s="1"/>
  <c r="B50" i="1" s="1"/>
  <c r="J46" i="1"/>
  <c r="K46" i="1" s="1"/>
  <c r="F46" i="1"/>
  <c r="I42" i="1"/>
  <c r="I43" i="1" s="1"/>
  <c r="I44" i="1" s="1"/>
  <c r="I45" i="1" s="1"/>
  <c r="H42" i="1"/>
  <c r="H43" i="1" s="1"/>
  <c r="H44" i="1" s="1"/>
  <c r="H45" i="1" s="1"/>
  <c r="G42" i="1"/>
  <c r="G43" i="1" s="1"/>
  <c r="E42" i="1"/>
  <c r="E43" i="1" s="1"/>
  <c r="E44" i="1" s="1"/>
  <c r="E45" i="1" s="1"/>
  <c r="D42" i="1"/>
  <c r="D43" i="1" s="1"/>
  <c r="D44" i="1" s="1"/>
  <c r="D45" i="1" s="1"/>
  <c r="C42" i="1"/>
  <c r="F42" i="1" s="1"/>
  <c r="B42" i="1"/>
  <c r="B43" i="1" s="1"/>
  <c r="B44" i="1" s="1"/>
  <c r="B45" i="1" s="1"/>
  <c r="J41" i="1"/>
  <c r="K41" i="1" s="1"/>
  <c r="F41" i="1"/>
  <c r="I37" i="1"/>
  <c r="I38" i="1" s="1"/>
  <c r="I39" i="1" s="1"/>
  <c r="I40" i="1" s="1"/>
  <c r="H37" i="1"/>
  <c r="H38" i="1" s="1"/>
  <c r="H39" i="1" s="1"/>
  <c r="H40" i="1" s="1"/>
  <c r="G37" i="1"/>
  <c r="E37" i="1"/>
  <c r="E38" i="1" s="1"/>
  <c r="E39" i="1" s="1"/>
  <c r="E40" i="1" s="1"/>
  <c r="D37" i="1"/>
  <c r="D38" i="1" s="1"/>
  <c r="D39" i="1" s="1"/>
  <c r="D40" i="1" s="1"/>
  <c r="C37" i="1"/>
  <c r="C38" i="1" s="1"/>
  <c r="F38" i="1" s="1"/>
  <c r="B37" i="1"/>
  <c r="B38" i="1" s="1"/>
  <c r="B39" i="1" s="1"/>
  <c r="B40" i="1" s="1"/>
  <c r="J36" i="1"/>
  <c r="K36" i="1" s="1"/>
  <c r="F36" i="1"/>
  <c r="I32" i="1"/>
  <c r="I33" i="1" s="1"/>
  <c r="I34" i="1" s="1"/>
  <c r="I35" i="1" s="1"/>
  <c r="H32" i="1"/>
  <c r="H33" i="1" s="1"/>
  <c r="H34" i="1" s="1"/>
  <c r="H35" i="1" s="1"/>
  <c r="G32" i="1"/>
  <c r="J32" i="1" s="1"/>
  <c r="K32" i="1" s="1"/>
  <c r="E32" i="1"/>
  <c r="E33" i="1" s="1"/>
  <c r="E34" i="1" s="1"/>
  <c r="E35" i="1" s="1"/>
  <c r="D32" i="1"/>
  <c r="D33" i="1" s="1"/>
  <c r="D34" i="1" s="1"/>
  <c r="D35" i="1" s="1"/>
  <c r="C32" i="1"/>
  <c r="B32" i="1"/>
  <c r="B33" i="1" s="1"/>
  <c r="B34" i="1" s="1"/>
  <c r="B35" i="1" s="1"/>
  <c r="J31" i="1"/>
  <c r="K31" i="1" s="1"/>
  <c r="F31" i="1"/>
  <c r="I27" i="1"/>
  <c r="I28" i="1" s="1"/>
  <c r="I29" i="1" s="1"/>
  <c r="I30" i="1" s="1"/>
  <c r="H27" i="1"/>
  <c r="H28" i="1" s="1"/>
  <c r="H29" i="1" s="1"/>
  <c r="H30" i="1" s="1"/>
  <c r="G27" i="1"/>
  <c r="G28" i="1" s="1"/>
  <c r="J28" i="1" s="1"/>
  <c r="K28" i="1" s="1"/>
  <c r="E27" i="1"/>
  <c r="E28" i="1" s="1"/>
  <c r="E29" i="1" s="1"/>
  <c r="E30" i="1" s="1"/>
  <c r="D27" i="1"/>
  <c r="D28" i="1" s="1"/>
  <c r="D29" i="1" s="1"/>
  <c r="D30" i="1" s="1"/>
  <c r="C27" i="1"/>
  <c r="C28" i="1" s="1"/>
  <c r="B27" i="1"/>
  <c r="B28" i="1" s="1"/>
  <c r="B29" i="1" s="1"/>
  <c r="B30" i="1" s="1"/>
  <c r="J26" i="1"/>
  <c r="K26" i="1" s="1"/>
  <c r="F26" i="1"/>
  <c r="J25" i="1"/>
  <c r="K25" i="1" s="1"/>
  <c r="F25" i="1"/>
  <c r="J24" i="1"/>
  <c r="K24" i="1" s="1"/>
  <c r="F24" i="1"/>
  <c r="J23" i="1"/>
  <c r="K23" i="1" s="1"/>
  <c r="F23" i="1"/>
  <c r="J22" i="1"/>
  <c r="K22" i="1" s="1"/>
  <c r="F22" i="1"/>
  <c r="J21" i="1"/>
  <c r="K21" i="1" s="1"/>
  <c r="F21" i="1"/>
  <c r="J20" i="1"/>
  <c r="K20" i="1" s="1"/>
  <c r="F20" i="1"/>
  <c r="J19" i="1"/>
  <c r="K19" i="1" s="1"/>
  <c r="F19" i="1"/>
  <c r="J18" i="1"/>
  <c r="K18" i="1" s="1"/>
  <c r="F18" i="1"/>
  <c r="J17" i="1"/>
  <c r="K17" i="1" s="1"/>
  <c r="F17" i="1"/>
  <c r="J16" i="1"/>
  <c r="K16" i="1" s="1"/>
  <c r="F16" i="1"/>
  <c r="J15" i="1"/>
  <c r="K15" i="1" s="1"/>
  <c r="F15" i="1"/>
  <c r="J14" i="1"/>
  <c r="K14" i="1" s="1"/>
  <c r="F14" i="1"/>
  <c r="J13" i="1"/>
  <c r="K13" i="1" s="1"/>
  <c r="F13" i="1"/>
  <c r="J12" i="1"/>
  <c r="K12" i="1" s="1"/>
  <c r="F12" i="1"/>
  <c r="J11" i="1"/>
  <c r="K11" i="1" s="1"/>
  <c r="F11" i="1"/>
  <c r="J10" i="1"/>
  <c r="K10" i="1" s="1"/>
  <c r="F10" i="1"/>
  <c r="J9" i="1"/>
  <c r="K9" i="1" s="1"/>
  <c r="F9" i="1"/>
  <c r="J8" i="1"/>
  <c r="K8" i="1" s="1"/>
  <c r="F8" i="1"/>
  <c r="J7" i="1"/>
  <c r="K7" i="1" s="1"/>
  <c r="F7" i="1"/>
  <c r="J6" i="1"/>
  <c r="K6" i="1" s="1"/>
  <c r="F6" i="1"/>
  <c r="J5" i="1"/>
  <c r="K5" i="1" s="1"/>
  <c r="F5" i="1"/>
  <c r="J4" i="1"/>
  <c r="K4" i="1" s="1"/>
  <c r="F4" i="1"/>
  <c r="J3" i="1"/>
  <c r="K3" i="1" s="1"/>
  <c r="F3" i="1"/>
  <c r="J2" i="1"/>
  <c r="K2" i="1" s="1"/>
  <c r="F2" i="1"/>
  <c r="C58" i="1" l="1"/>
  <c r="C43" i="1"/>
  <c r="J42" i="1"/>
  <c r="K42" i="1" s="1"/>
  <c r="C39" i="1"/>
  <c r="J102" i="1"/>
  <c r="K102" i="1" s="1"/>
  <c r="J27" i="1"/>
  <c r="K27" i="1" s="1"/>
  <c r="G33" i="1"/>
  <c r="G34" i="1" s="1"/>
  <c r="J34" i="1" s="1"/>
  <c r="K34" i="1" s="1"/>
  <c r="C63" i="1"/>
  <c r="C64" i="1" s="1"/>
  <c r="F64" i="1" s="1"/>
  <c r="F93" i="1"/>
  <c r="C94" i="1"/>
  <c r="J103" i="1"/>
  <c r="K103" i="1" s="1"/>
  <c r="G104" i="1"/>
  <c r="J43" i="1"/>
  <c r="K43" i="1" s="1"/>
  <c r="G44" i="1"/>
  <c r="F92" i="1"/>
  <c r="F102" i="1"/>
  <c r="J57" i="1"/>
  <c r="K57" i="1" s="1"/>
  <c r="G29" i="1"/>
  <c r="G30" i="1" s="1"/>
  <c r="J30" i="1" s="1"/>
  <c r="K30" i="1" s="1"/>
  <c r="J92" i="1"/>
  <c r="K92" i="1" s="1"/>
  <c r="G48" i="1"/>
  <c r="J48" i="1" s="1"/>
  <c r="K48" i="1" s="1"/>
  <c r="G73" i="1"/>
  <c r="J62" i="1"/>
  <c r="K62" i="1" s="1"/>
  <c r="F37" i="1"/>
  <c r="F58" i="1"/>
  <c r="C59" i="1"/>
  <c r="G53" i="1"/>
  <c r="J52" i="1"/>
  <c r="K52" i="1" s="1"/>
  <c r="C48" i="1"/>
  <c r="F47" i="1"/>
  <c r="F72" i="1"/>
  <c r="C73" i="1"/>
  <c r="F27" i="1"/>
  <c r="C29" i="1"/>
  <c r="F28" i="1"/>
  <c r="F43" i="1"/>
  <c r="C44" i="1"/>
  <c r="G59" i="1"/>
  <c r="C40" i="1"/>
  <c r="F40" i="1" s="1"/>
  <c r="F39" i="1"/>
  <c r="F103" i="1"/>
  <c r="C104" i="1"/>
  <c r="G64" i="1"/>
  <c r="J63" i="1"/>
  <c r="K63" i="1" s="1"/>
  <c r="F82" i="1"/>
  <c r="G38" i="1"/>
  <c r="J37" i="1"/>
  <c r="K37" i="1" s="1"/>
  <c r="F52" i="1"/>
  <c r="G83" i="1"/>
  <c r="J82" i="1"/>
  <c r="K82" i="1" s="1"/>
  <c r="G94" i="1"/>
  <c r="J93" i="1"/>
  <c r="K93" i="1" s="1"/>
  <c r="C84" i="1"/>
  <c r="C33" i="1"/>
  <c r="F32" i="1"/>
  <c r="C54" i="1"/>
  <c r="F63" i="1" l="1"/>
  <c r="G35" i="1"/>
  <c r="J35" i="1" s="1"/>
  <c r="K35" i="1" s="1"/>
  <c r="C65" i="1"/>
  <c r="J33" i="1"/>
  <c r="K33" i="1" s="1"/>
  <c r="J29" i="1"/>
  <c r="K29" i="1" s="1"/>
  <c r="G74" i="1"/>
  <c r="J73" i="1"/>
  <c r="K73" i="1" s="1"/>
  <c r="G45" i="1"/>
  <c r="J45" i="1" s="1"/>
  <c r="K45" i="1" s="1"/>
  <c r="J44" i="1"/>
  <c r="K44" i="1" s="1"/>
  <c r="G49" i="1"/>
  <c r="C95" i="1"/>
  <c r="F94" i="1"/>
  <c r="G105" i="1"/>
  <c r="J104" i="1"/>
  <c r="K104" i="1" s="1"/>
  <c r="G39" i="1"/>
  <c r="J38" i="1"/>
  <c r="K38" i="1" s="1"/>
  <c r="C30" i="1"/>
  <c r="F30" i="1" s="1"/>
  <c r="F29" i="1"/>
  <c r="F104" i="1"/>
  <c r="C105" i="1"/>
  <c r="C55" i="1"/>
  <c r="F55" i="1" s="1"/>
  <c r="F54" i="1"/>
  <c r="C74" i="1"/>
  <c r="F73" i="1"/>
  <c r="F65" i="1"/>
  <c r="C66" i="1"/>
  <c r="J64" i="1"/>
  <c r="K64" i="1" s="1"/>
  <c r="G65" i="1"/>
  <c r="J53" i="1"/>
  <c r="K53" i="1" s="1"/>
  <c r="G54" i="1"/>
  <c r="G50" i="1"/>
  <c r="J50" i="1" s="1"/>
  <c r="K50" i="1" s="1"/>
  <c r="J49" i="1"/>
  <c r="K49" i="1" s="1"/>
  <c r="C34" i="1"/>
  <c r="F33" i="1"/>
  <c r="C85" i="1"/>
  <c r="F84" i="1"/>
  <c r="F48" i="1"/>
  <c r="C49" i="1"/>
  <c r="J94" i="1"/>
  <c r="K94" i="1" s="1"/>
  <c r="G95" i="1"/>
  <c r="F59" i="1"/>
  <c r="C60" i="1"/>
  <c r="F60" i="1" s="1"/>
  <c r="G60" i="1"/>
  <c r="J60" i="1" s="1"/>
  <c r="K60" i="1" s="1"/>
  <c r="J59" i="1"/>
  <c r="K59" i="1" s="1"/>
  <c r="J83" i="1"/>
  <c r="K83" i="1" s="1"/>
  <c r="G84" i="1"/>
  <c r="C45" i="1"/>
  <c r="F45" i="1" s="1"/>
  <c r="F44" i="1"/>
  <c r="G106" i="1" l="1"/>
  <c r="J105" i="1"/>
  <c r="K105" i="1" s="1"/>
  <c r="C96" i="1"/>
  <c r="F95" i="1"/>
  <c r="G75" i="1"/>
  <c r="J74" i="1"/>
  <c r="K74" i="1" s="1"/>
  <c r="F49" i="1"/>
  <c r="C50" i="1"/>
  <c r="F50" i="1" s="1"/>
  <c r="F85" i="1"/>
  <c r="C86" i="1"/>
  <c r="F74" i="1"/>
  <c r="C75" i="1"/>
  <c r="F34" i="1"/>
  <c r="C35" i="1"/>
  <c r="F35" i="1" s="1"/>
  <c r="C106" i="1"/>
  <c r="F105" i="1"/>
  <c r="F66" i="1"/>
  <c r="C67" i="1"/>
  <c r="G96" i="1"/>
  <c r="J95" i="1"/>
  <c r="K95" i="1" s="1"/>
  <c r="G85" i="1"/>
  <c r="J84" i="1"/>
  <c r="K84" i="1" s="1"/>
  <c r="G55" i="1"/>
  <c r="J55" i="1" s="1"/>
  <c r="K55" i="1" s="1"/>
  <c r="J54" i="1"/>
  <c r="K54" i="1" s="1"/>
  <c r="G66" i="1"/>
  <c r="J65" i="1"/>
  <c r="K65" i="1" s="1"/>
  <c r="J39" i="1"/>
  <c r="K39" i="1" s="1"/>
  <c r="G40" i="1"/>
  <c r="J40" i="1" s="1"/>
  <c r="K40" i="1" s="1"/>
  <c r="J75" i="1" l="1"/>
  <c r="K75" i="1" s="1"/>
  <c r="G76" i="1"/>
  <c r="C97" i="1"/>
  <c r="F96" i="1"/>
  <c r="J106" i="1"/>
  <c r="K106" i="1" s="1"/>
  <c r="G107" i="1"/>
  <c r="F106" i="1"/>
  <c r="C107" i="1"/>
  <c r="G86" i="1"/>
  <c r="J85" i="1"/>
  <c r="K85" i="1" s="1"/>
  <c r="G97" i="1"/>
  <c r="J96" i="1"/>
  <c r="K96" i="1" s="1"/>
  <c r="C76" i="1"/>
  <c r="F75" i="1"/>
  <c r="C87" i="1"/>
  <c r="F86" i="1"/>
  <c r="C68" i="1"/>
  <c r="F67" i="1"/>
  <c r="G67" i="1"/>
  <c r="J66" i="1"/>
  <c r="K66" i="1" s="1"/>
  <c r="J107" i="1" l="1"/>
  <c r="K107" i="1" s="1"/>
  <c r="G108" i="1"/>
  <c r="F97" i="1"/>
  <c r="C98" i="1"/>
  <c r="G77" i="1"/>
  <c r="J76" i="1"/>
  <c r="K76" i="1" s="1"/>
  <c r="F68" i="1"/>
  <c r="C69" i="1"/>
  <c r="G98" i="1"/>
  <c r="J97" i="1"/>
  <c r="K97" i="1" s="1"/>
  <c r="C108" i="1"/>
  <c r="F107" i="1"/>
  <c r="F87" i="1"/>
  <c r="C88" i="1"/>
  <c r="F76" i="1"/>
  <c r="C77" i="1"/>
  <c r="J86" i="1"/>
  <c r="K86" i="1" s="1"/>
  <c r="G87" i="1"/>
  <c r="J67" i="1"/>
  <c r="K67" i="1" s="1"/>
  <c r="G68" i="1"/>
  <c r="J108" i="1" l="1"/>
  <c r="K108" i="1" s="1"/>
  <c r="G109" i="1"/>
  <c r="J77" i="1"/>
  <c r="K77" i="1" s="1"/>
  <c r="G78" i="1"/>
  <c r="C99" i="1"/>
  <c r="F98" i="1"/>
  <c r="J87" i="1"/>
  <c r="K87" i="1" s="1"/>
  <c r="G88" i="1"/>
  <c r="J68" i="1"/>
  <c r="K68" i="1" s="1"/>
  <c r="G69" i="1"/>
  <c r="J98" i="1"/>
  <c r="K98" i="1" s="1"/>
  <c r="G99" i="1"/>
  <c r="C78" i="1"/>
  <c r="F77" i="1"/>
  <c r="F108" i="1"/>
  <c r="C109" i="1"/>
  <c r="F69" i="1"/>
  <c r="C70" i="1"/>
  <c r="F70" i="1" s="1"/>
  <c r="F88" i="1"/>
  <c r="C89" i="1"/>
  <c r="C100" i="1" l="1"/>
  <c r="F100" i="1" s="1"/>
  <c r="F99" i="1"/>
  <c r="J78" i="1"/>
  <c r="K78" i="1" s="1"/>
  <c r="G79" i="1"/>
  <c r="G110" i="1"/>
  <c r="J110" i="1" s="1"/>
  <c r="K110" i="1" s="1"/>
  <c r="J109" i="1"/>
  <c r="K109" i="1" s="1"/>
  <c r="F89" i="1"/>
  <c r="C90" i="1"/>
  <c r="F90" i="1" s="1"/>
  <c r="J99" i="1"/>
  <c r="K99" i="1" s="1"/>
  <c r="G100" i="1"/>
  <c r="J100" i="1" s="1"/>
  <c r="K100" i="1" s="1"/>
  <c r="C110" i="1"/>
  <c r="F110" i="1" s="1"/>
  <c r="F109" i="1"/>
  <c r="C79" i="1"/>
  <c r="F78" i="1"/>
  <c r="G70" i="1"/>
  <c r="J70" i="1" s="1"/>
  <c r="K70" i="1" s="1"/>
  <c r="J69" i="1"/>
  <c r="K69" i="1" s="1"/>
  <c r="G89" i="1"/>
  <c r="J88" i="1"/>
  <c r="K88" i="1" s="1"/>
  <c r="G80" i="1" l="1"/>
  <c r="J80" i="1" s="1"/>
  <c r="K80" i="1" s="1"/>
  <c r="J79" i="1"/>
  <c r="K79" i="1" s="1"/>
  <c r="J89" i="1"/>
  <c r="K89" i="1" s="1"/>
  <c r="G90" i="1"/>
  <c r="J90" i="1" s="1"/>
  <c r="K90" i="1" s="1"/>
  <c r="F79" i="1"/>
  <c r="C80" i="1"/>
  <c r="F8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Lenovo</author>
  </authors>
  <commentList>
    <comment ref="F2" authorId="0" shapeId="0" xr:uid="{BA887FA1-CD6A-4BF0-9C9C-654C3C6FDDCC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SAME AS MURUM LEAD</t>
        </r>
      </text>
    </comment>
    <comment ref="J2" authorId="1" shapeId="0" xr:uid="{5A74C56B-2A03-4ED6-8238-4CBBCC6BD481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SAME AS CEMENT LEAD</t>
        </r>
      </text>
    </comment>
  </commentList>
</comments>
</file>

<file path=xl/sharedStrings.xml><?xml version="1.0" encoding="utf-8"?>
<sst xmlns="http://schemas.openxmlformats.org/spreadsheetml/2006/main" count="11" uniqueCount="11">
  <si>
    <r>
      <t xml:space="preserve">Lead    in        </t>
    </r>
    <r>
      <rPr>
        <b/>
        <sz val="16"/>
        <color rgb="FF7030A0"/>
        <rFont val="Arial"/>
        <family val="2"/>
      </rPr>
      <t>km</t>
    </r>
  </si>
  <si>
    <t>Concrete Blocks  (Form)</t>
  </si>
  <si>
    <t>Murum, Building Rubish, Earth</t>
  </si>
  <si>
    <t>Excavated Rock    soling stone</t>
  </si>
  <si>
    <t>Sand, (crush metal)  Stone below 40 mm, Normal Brick sider aggre. Timber</t>
  </si>
  <si>
    <t>Stone aggregate 40mm Normal size and above</t>
  </si>
  <si>
    <t>Cement, Lime, Stone Block, GI, CI, CC &amp; AC Pipes /  Sheet&amp; Plate,  Glass in packs, Distemper, AC Sheet, Fitting Iron Sheet</t>
  </si>
  <si>
    <t>Bricks           1000 nos      1cum=500 Bricks</t>
  </si>
  <si>
    <t>Tiles Half Round Tiles / Roofing Tiles / Manglore Tiles</t>
  </si>
  <si>
    <t>Steel        (MS, TMT, H.Y.S.D.) Structural Steel</t>
  </si>
  <si>
    <t>Flooring Tiles Ceramic/ Marbonate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</si>
</sst>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rgb="FF7030A0"/>
      <name val="Arial"/>
      <family val="2"/>
    </font>
    <font>
      <b/>
      <sz val="16"/>
      <color rgb="FF7030A0"/>
      <name val="Arial"/>
      <family val="2"/>
    </font>
    <font>
      <b/>
      <sz val="10"/>
      <color rgb="FF7030A0"/>
      <name val="Arial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b/>
      <i/>
      <sz val="12"/>
      <color rgb="FFFF0000"/>
      <name val="Arial"/>
      <family val="2"/>
    </font>
    <font>
      <b/>
      <i/>
      <sz val="12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2" fillId="2" borderId="1" xfId="1" applyFont="1" applyFill="1" applyBorder="1" applyAlignment="1" applyProtection="1">
      <alignment vertical="top" wrapText="1"/>
      <protection hidden="1"/>
    </xf>
    <xf numFmtId="0" fontId="4" fillId="0" borderId="2" xfId="1" applyFont="1" applyBorder="1" applyAlignment="1" applyProtection="1">
      <alignment horizontal="center" vertical="top" wrapText="1"/>
      <protection hidden="1"/>
    </xf>
    <xf numFmtId="0" fontId="4" fillId="0" borderId="2" xfId="1" applyFont="1" applyBorder="1" applyAlignment="1" applyProtection="1">
      <alignment vertical="top" wrapText="1"/>
      <protection hidden="1"/>
    </xf>
    <xf numFmtId="0" fontId="4" fillId="0" borderId="3" xfId="1" applyFont="1" applyBorder="1" applyAlignment="1" applyProtection="1">
      <alignment horizontal="center" vertical="top" wrapText="1"/>
      <protection hidden="1"/>
    </xf>
    <xf numFmtId="2" fontId="5" fillId="2" borderId="4" xfId="1" applyNumberFormat="1" applyFont="1" applyFill="1" applyBorder="1" applyAlignment="1" applyProtection="1">
      <alignment horizontal="center" vertical="center"/>
      <protection hidden="1"/>
    </xf>
    <xf numFmtId="2" fontId="6" fillId="0" borderId="4" xfId="1" applyNumberFormat="1" applyFont="1" applyBorder="1" applyAlignment="1" applyProtection="1">
      <alignment horizontal="center" vertical="center"/>
      <protection hidden="1"/>
    </xf>
    <xf numFmtId="2" fontId="7" fillId="0" borderId="4" xfId="1" applyNumberFormat="1" applyFont="1" applyBorder="1" applyAlignment="1" applyProtection="1">
      <alignment horizontal="center" vertical="center"/>
      <protection hidden="1"/>
    </xf>
    <xf numFmtId="2" fontId="8" fillId="0" borderId="4" xfId="1" applyNumberFormat="1" applyFont="1" applyBorder="1" applyAlignment="1" applyProtection="1">
      <alignment horizontal="center" vertical="center"/>
      <protection hidden="1"/>
    </xf>
    <xf numFmtId="2" fontId="5" fillId="2" borderId="5" xfId="1" applyNumberFormat="1" applyFont="1" applyFill="1" applyBorder="1" applyAlignment="1" applyProtection="1">
      <alignment horizontal="center" vertical="center"/>
      <protection hidden="1"/>
    </xf>
    <xf numFmtId="2" fontId="6" fillId="0" borderId="5" xfId="1" applyNumberFormat="1" applyFont="1" applyBorder="1" applyAlignment="1" applyProtection="1">
      <alignment horizontal="center" vertical="center"/>
      <protection hidden="1"/>
    </xf>
    <xf numFmtId="2" fontId="7" fillId="0" borderId="5" xfId="1" applyNumberFormat="1" applyFont="1" applyBorder="1" applyAlignment="1" applyProtection="1">
      <alignment horizontal="center" vertical="center"/>
      <protection hidden="1"/>
    </xf>
    <xf numFmtId="2" fontId="5" fillId="2" borderId="6" xfId="1" applyNumberFormat="1" applyFont="1" applyFill="1" applyBorder="1" applyAlignment="1" applyProtection="1">
      <alignment horizontal="center" vertical="center"/>
      <protection hidden="1"/>
    </xf>
    <xf numFmtId="2" fontId="6" fillId="0" borderId="6" xfId="1" applyNumberFormat="1" applyFont="1" applyBorder="1" applyAlignment="1" applyProtection="1">
      <alignment horizontal="center" vertical="center"/>
      <protection hidden="1"/>
    </xf>
    <xf numFmtId="2" fontId="7" fillId="0" borderId="6" xfId="1" applyNumberFormat="1" applyFont="1" applyBorder="1" applyAlignment="1" applyProtection="1">
      <alignment horizontal="center" vertical="center"/>
      <protection hidden="1"/>
    </xf>
    <xf numFmtId="2" fontId="8" fillId="0" borderId="6" xfId="1" applyNumberFormat="1" applyFont="1" applyBorder="1" applyAlignment="1" applyProtection="1">
      <alignment horizontal="center" vertical="center"/>
      <protection hidden="1"/>
    </xf>
    <xf numFmtId="2" fontId="5" fillId="2" borderId="7" xfId="1" applyNumberFormat="1" applyFont="1" applyFill="1" applyBorder="1" applyAlignment="1" applyProtection="1">
      <alignment horizontal="center" vertical="center"/>
      <protection hidden="1"/>
    </xf>
    <xf numFmtId="2" fontId="6" fillId="0" borderId="7" xfId="1" applyNumberFormat="1" applyFont="1" applyBorder="1" applyAlignment="1" applyProtection="1">
      <alignment horizontal="center" vertical="center"/>
      <protection hidden="1"/>
    </xf>
    <xf numFmtId="2" fontId="7" fillId="0" borderId="7" xfId="1" applyNumberFormat="1" applyFont="1" applyBorder="1" applyAlignment="1" applyProtection="1">
      <alignment horizontal="center" vertical="center"/>
      <protection hidden="1"/>
    </xf>
    <xf numFmtId="2" fontId="9" fillId="2" borderId="8" xfId="1" applyNumberFormat="1" applyFont="1" applyFill="1" applyBorder="1" applyAlignment="1" applyProtection="1">
      <alignment horizontal="center" vertical="center"/>
      <protection hidden="1"/>
    </xf>
    <xf numFmtId="2" fontId="10" fillId="3" borderId="9" xfId="1" applyNumberFormat="1" applyFont="1" applyFill="1" applyBorder="1" applyAlignment="1" applyProtection="1">
      <alignment horizontal="center" vertical="center"/>
      <protection hidden="1"/>
    </xf>
    <xf numFmtId="2" fontId="11" fillId="3" borderId="9" xfId="1" applyNumberFormat="1" applyFont="1" applyFill="1" applyBorder="1" applyAlignment="1" applyProtection="1">
      <alignment horizontal="center" vertical="center"/>
      <protection hidden="1"/>
    </xf>
    <xf numFmtId="2" fontId="8" fillId="0" borderId="9" xfId="1" applyNumberFormat="1" applyFont="1" applyBorder="1" applyAlignment="1" applyProtection="1">
      <alignment horizontal="center" vertical="center"/>
      <protection hidden="1"/>
    </xf>
    <xf numFmtId="2" fontId="12" fillId="3" borderId="9" xfId="1" applyNumberFormat="1" applyFont="1" applyFill="1" applyBorder="1" applyAlignment="1" applyProtection="1">
      <alignment horizontal="center" vertical="center"/>
      <protection hidden="1"/>
    </xf>
    <xf numFmtId="2" fontId="13" fillId="3" borderId="9" xfId="1" applyNumberFormat="1" applyFont="1" applyFill="1" applyBorder="1" applyAlignment="1" applyProtection="1">
      <alignment horizontal="center" vertical="center"/>
      <protection hidden="1"/>
    </xf>
    <xf numFmtId="2" fontId="9" fillId="2" borderId="5" xfId="1" applyNumberFormat="1" applyFont="1" applyFill="1" applyBorder="1" applyAlignment="1" applyProtection="1">
      <alignment horizontal="center" vertical="center"/>
      <protection hidden="1"/>
    </xf>
    <xf numFmtId="2" fontId="12" fillId="3" borderId="5" xfId="1" applyNumberFormat="1" applyFont="1" applyFill="1" applyBorder="1" applyAlignment="1" applyProtection="1">
      <alignment horizontal="center" vertical="center"/>
      <protection hidden="1"/>
    </xf>
    <xf numFmtId="2" fontId="13" fillId="3" borderId="5" xfId="1" applyNumberFormat="1" applyFont="1" applyFill="1" applyBorder="1" applyAlignment="1" applyProtection="1">
      <alignment horizontal="center" vertical="center"/>
      <protection hidden="1"/>
    </xf>
    <xf numFmtId="2" fontId="5" fillId="0" borderId="9" xfId="1" applyNumberFormat="1" applyFont="1" applyBorder="1" applyAlignment="1" applyProtection="1">
      <alignment horizontal="center" vertical="center"/>
      <protection hidden="1"/>
    </xf>
  </cellXfs>
  <cellStyles count="2">
    <cellStyle name="Normal" xfId="0" builtinId="0"/>
    <cellStyle name="Normal 10" xfId="1" xr:uid="{CFEEFDAA-7555-40B4-A608-559B818EAA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5"/>
  <sheetViews>
    <sheetView tabSelected="1" workbookViewId="0">
      <selection activeCell="L90" sqref="L1:L1048576"/>
    </sheetView>
  </sheetViews>
  <sheetFormatPr defaultRowHeight="15.05" x14ac:dyDescent="0.3"/>
  <cols>
    <col min="2" max="2" width="12.109375" customWidth="1"/>
    <col min="3" max="3" width="11.21875" customWidth="1"/>
    <col min="4" max="4" width="10.77734375" customWidth="1"/>
    <col min="5" max="5" width="14.77734375" customWidth="1"/>
    <col min="6" max="6" width="12.21875" customWidth="1"/>
    <col min="7" max="7" width="13.77734375" customWidth="1"/>
    <col min="8" max="8" width="11" customWidth="1"/>
    <col min="9" max="9" width="17" customWidth="1"/>
    <col min="10" max="10" width="13.6640625" customWidth="1"/>
  </cols>
  <sheetData>
    <row r="1" spans="1:11" ht="224.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4" t="s">
        <v>10</v>
      </c>
    </row>
    <row r="2" spans="1:11" x14ac:dyDescent="0.3">
      <c r="A2" s="5">
        <v>0.5</v>
      </c>
      <c r="B2" s="6">
        <v>137.49</v>
      </c>
      <c r="C2" s="6">
        <v>177.88</v>
      </c>
      <c r="D2" s="6">
        <v>227.08</v>
      </c>
      <c r="E2" s="6">
        <v>185.61</v>
      </c>
      <c r="F2" s="7">
        <f t="shared" ref="F2:F26" si="0">C2</f>
        <v>177.88</v>
      </c>
      <c r="G2" s="6">
        <v>96.25</v>
      </c>
      <c r="H2" s="6">
        <v>309.97000000000003</v>
      </c>
      <c r="I2" s="6">
        <v>192.49</v>
      </c>
      <c r="J2" s="7">
        <f t="shared" ref="J2:J65" si="1">G2</f>
        <v>96.25</v>
      </c>
      <c r="K2" s="8">
        <f>ROUND(J2/10,2)</f>
        <v>9.6300000000000008</v>
      </c>
    </row>
    <row r="3" spans="1:11" x14ac:dyDescent="0.3">
      <c r="A3" s="9">
        <v>1</v>
      </c>
      <c r="B3" s="10">
        <v>149.12</v>
      </c>
      <c r="C3" s="10">
        <v>186.49</v>
      </c>
      <c r="D3" s="6">
        <v>238.07</v>
      </c>
      <c r="E3" s="10">
        <v>194.59</v>
      </c>
      <c r="F3" s="11">
        <f t="shared" si="0"/>
        <v>186.49</v>
      </c>
      <c r="G3" s="10">
        <v>104.39</v>
      </c>
      <c r="H3" s="10">
        <v>336.19</v>
      </c>
      <c r="I3" s="10">
        <v>208.77</v>
      </c>
      <c r="J3" s="11">
        <f t="shared" si="1"/>
        <v>104.39</v>
      </c>
      <c r="K3" s="8">
        <f t="shared" ref="K3:K6" si="2">ROUND(J3/10,2)</f>
        <v>10.44</v>
      </c>
    </row>
    <row r="4" spans="1:11" x14ac:dyDescent="0.3">
      <c r="A4" s="5">
        <v>1.5</v>
      </c>
      <c r="B4" s="6">
        <v>160.5</v>
      </c>
      <c r="C4" s="6">
        <v>195</v>
      </c>
      <c r="D4" s="6">
        <v>248.94</v>
      </c>
      <c r="E4" s="6">
        <v>203.48</v>
      </c>
      <c r="F4" s="7">
        <f t="shared" si="0"/>
        <v>195</v>
      </c>
      <c r="G4" s="6">
        <v>112.35</v>
      </c>
      <c r="H4" s="6">
        <v>361.84</v>
      </c>
      <c r="I4" s="6">
        <v>224.7</v>
      </c>
      <c r="J4" s="7">
        <f t="shared" si="1"/>
        <v>112.35</v>
      </c>
      <c r="K4" s="8">
        <f t="shared" si="2"/>
        <v>11.24</v>
      </c>
    </row>
    <row r="5" spans="1:11" x14ac:dyDescent="0.3">
      <c r="A5" s="9">
        <v>2</v>
      </c>
      <c r="B5" s="10">
        <v>171.42</v>
      </c>
      <c r="C5" s="10">
        <v>203.32</v>
      </c>
      <c r="D5" s="10">
        <v>259.55</v>
      </c>
      <c r="E5" s="10">
        <v>212.16</v>
      </c>
      <c r="F5" s="11">
        <f t="shared" si="0"/>
        <v>203.32</v>
      </c>
      <c r="G5" s="10">
        <v>120</v>
      </c>
      <c r="H5" s="10">
        <v>386.46</v>
      </c>
      <c r="I5" s="10">
        <v>239.99</v>
      </c>
      <c r="J5" s="11">
        <f t="shared" si="1"/>
        <v>120</v>
      </c>
      <c r="K5" s="8">
        <f>ROUND(J5/10,2)</f>
        <v>12</v>
      </c>
    </row>
    <row r="6" spans="1:11" x14ac:dyDescent="0.3">
      <c r="A6" s="5">
        <v>2.5</v>
      </c>
      <c r="B6" s="6">
        <v>182.71</v>
      </c>
      <c r="C6" s="6">
        <v>211.68</v>
      </c>
      <c r="D6" s="6">
        <v>270.22000000000003</v>
      </c>
      <c r="E6" s="6">
        <v>220.88</v>
      </c>
      <c r="F6" s="7">
        <f t="shared" si="0"/>
        <v>211.68</v>
      </c>
      <c r="G6" s="6">
        <v>127.9</v>
      </c>
      <c r="H6" s="6">
        <v>411.9</v>
      </c>
      <c r="I6" s="6">
        <v>255.79</v>
      </c>
      <c r="J6" s="7">
        <f t="shared" si="1"/>
        <v>127.9</v>
      </c>
      <c r="K6" s="8">
        <f t="shared" si="2"/>
        <v>12.79</v>
      </c>
    </row>
    <row r="7" spans="1:11" x14ac:dyDescent="0.3">
      <c r="A7" s="9">
        <v>3</v>
      </c>
      <c r="B7" s="10">
        <v>193.52</v>
      </c>
      <c r="C7" s="10">
        <v>219.98</v>
      </c>
      <c r="D7" s="10">
        <v>280.83</v>
      </c>
      <c r="E7" s="10">
        <v>229.55</v>
      </c>
      <c r="F7" s="11">
        <f t="shared" si="0"/>
        <v>219.98</v>
      </c>
      <c r="G7" s="10">
        <v>135.46</v>
      </c>
      <c r="H7" s="10">
        <v>436.28</v>
      </c>
      <c r="I7" s="10">
        <v>270.93</v>
      </c>
      <c r="J7" s="11">
        <f t="shared" si="1"/>
        <v>135.46</v>
      </c>
      <c r="K7" s="8">
        <f>ROUND(J7/10,2)</f>
        <v>13.55</v>
      </c>
    </row>
    <row r="8" spans="1:11" x14ac:dyDescent="0.3">
      <c r="A8" s="5">
        <v>3.5</v>
      </c>
      <c r="B8" s="6">
        <v>204.28</v>
      </c>
      <c r="C8" s="6">
        <v>228.16</v>
      </c>
      <c r="D8" s="6">
        <v>291.27</v>
      </c>
      <c r="E8" s="6">
        <v>238.08</v>
      </c>
      <c r="F8" s="7">
        <f t="shared" si="0"/>
        <v>228.16</v>
      </c>
      <c r="G8" s="6">
        <v>143</v>
      </c>
      <c r="H8" s="6">
        <v>460.54</v>
      </c>
      <c r="I8" s="6">
        <v>286</v>
      </c>
      <c r="J8" s="7">
        <f t="shared" si="1"/>
        <v>143</v>
      </c>
      <c r="K8" s="8">
        <f>ROUND(J8/10,2)</f>
        <v>14.3</v>
      </c>
    </row>
    <row r="9" spans="1:11" x14ac:dyDescent="0.3">
      <c r="A9" s="9">
        <v>4</v>
      </c>
      <c r="B9" s="10">
        <v>214.88</v>
      </c>
      <c r="C9" s="10">
        <v>236.28</v>
      </c>
      <c r="D9" s="10">
        <v>301.63</v>
      </c>
      <c r="E9" s="10">
        <v>246.55</v>
      </c>
      <c r="F9" s="11">
        <f t="shared" si="0"/>
        <v>236.28</v>
      </c>
      <c r="G9" s="10">
        <v>150.41</v>
      </c>
      <c r="H9" s="10">
        <v>484.43</v>
      </c>
      <c r="I9" s="10">
        <v>300.83</v>
      </c>
      <c r="J9" s="11">
        <f t="shared" si="1"/>
        <v>150.41</v>
      </c>
      <c r="K9" s="8">
        <f t="shared" ref="K9" si="3">ROUND(J9/10,2)</f>
        <v>15.04</v>
      </c>
    </row>
    <row r="10" spans="1:11" x14ac:dyDescent="0.3">
      <c r="A10" s="12">
        <v>4.5</v>
      </c>
      <c r="B10" s="13">
        <v>225.26</v>
      </c>
      <c r="C10" s="13">
        <v>244.31</v>
      </c>
      <c r="D10" s="13">
        <v>311.89</v>
      </c>
      <c r="E10" s="13">
        <v>254.93</v>
      </c>
      <c r="F10" s="14">
        <f t="shared" si="0"/>
        <v>244.31</v>
      </c>
      <c r="G10" s="13">
        <v>157.68</v>
      </c>
      <c r="H10" s="13">
        <v>507.82</v>
      </c>
      <c r="I10" s="13">
        <v>315.36</v>
      </c>
      <c r="J10" s="14">
        <f t="shared" si="1"/>
        <v>157.68</v>
      </c>
      <c r="K10" s="15">
        <f>ROUND(J10/10,2)</f>
        <v>15.77</v>
      </c>
    </row>
    <row r="11" spans="1:11" x14ac:dyDescent="0.3">
      <c r="A11" s="12">
        <v>5</v>
      </c>
      <c r="B11" s="13">
        <v>235.7</v>
      </c>
      <c r="C11" s="13">
        <v>252.22</v>
      </c>
      <c r="D11" s="13">
        <v>321.99</v>
      </c>
      <c r="E11" s="13">
        <v>263.19</v>
      </c>
      <c r="F11" s="14">
        <f>C11</f>
        <v>252.22</v>
      </c>
      <c r="G11" s="13">
        <v>164.99</v>
      </c>
      <c r="H11" s="13">
        <v>531.38</v>
      </c>
      <c r="I11" s="13">
        <v>329.98</v>
      </c>
      <c r="J11" s="14">
        <f t="shared" si="1"/>
        <v>164.99</v>
      </c>
      <c r="K11" s="15">
        <f t="shared" ref="K11:K74" si="4">ROUND(J11/10,2)</f>
        <v>16.5</v>
      </c>
    </row>
    <row r="12" spans="1:11" x14ac:dyDescent="0.3">
      <c r="A12" s="5">
        <v>5.5</v>
      </c>
      <c r="B12" s="6">
        <v>246.55</v>
      </c>
      <c r="C12" s="6">
        <v>260.60000000000002</v>
      </c>
      <c r="D12" s="6">
        <v>332.67</v>
      </c>
      <c r="E12" s="6">
        <v>271.93</v>
      </c>
      <c r="F12" s="7">
        <f t="shared" si="0"/>
        <v>260.60000000000002</v>
      </c>
      <c r="G12" s="6">
        <v>172.58</v>
      </c>
      <c r="H12" s="6">
        <v>555.82000000000005</v>
      </c>
      <c r="I12" s="6">
        <v>345.16</v>
      </c>
      <c r="J12" s="7">
        <f t="shared" si="1"/>
        <v>172.58</v>
      </c>
      <c r="K12" s="8">
        <f t="shared" si="4"/>
        <v>17.260000000000002</v>
      </c>
    </row>
    <row r="13" spans="1:11" x14ac:dyDescent="0.3">
      <c r="A13" s="9">
        <v>6</v>
      </c>
      <c r="B13" s="10">
        <v>256.56</v>
      </c>
      <c r="C13" s="10">
        <v>268.39</v>
      </c>
      <c r="D13" s="10">
        <v>342.62</v>
      </c>
      <c r="E13" s="10">
        <v>280.05</v>
      </c>
      <c r="F13" s="11">
        <f t="shared" si="0"/>
        <v>268.39</v>
      </c>
      <c r="G13" s="10">
        <v>179.59</v>
      </c>
      <c r="H13" s="10">
        <v>578.4</v>
      </c>
      <c r="I13" s="10">
        <v>359.19</v>
      </c>
      <c r="J13" s="11">
        <f t="shared" si="1"/>
        <v>179.59</v>
      </c>
      <c r="K13" s="8">
        <f t="shared" si="4"/>
        <v>17.96</v>
      </c>
    </row>
    <row r="14" spans="1:11" x14ac:dyDescent="0.3">
      <c r="A14" s="5">
        <v>6.5</v>
      </c>
      <c r="B14" s="6">
        <v>267.37</v>
      </c>
      <c r="C14" s="6">
        <v>276.49</v>
      </c>
      <c r="D14" s="6">
        <v>352.97</v>
      </c>
      <c r="E14" s="6">
        <v>288.51</v>
      </c>
      <c r="F14" s="7">
        <f t="shared" si="0"/>
        <v>276.49</v>
      </c>
      <c r="G14" s="6">
        <v>187.16</v>
      </c>
      <c r="H14" s="6">
        <v>602.76</v>
      </c>
      <c r="I14" s="6">
        <v>374.32</v>
      </c>
      <c r="J14" s="7">
        <f t="shared" si="1"/>
        <v>187.16</v>
      </c>
      <c r="K14" s="8">
        <f t="shared" si="4"/>
        <v>18.72</v>
      </c>
    </row>
    <row r="15" spans="1:11" x14ac:dyDescent="0.3">
      <c r="A15" s="9">
        <v>7</v>
      </c>
      <c r="B15" s="10">
        <v>277.22000000000003</v>
      </c>
      <c r="C15" s="10">
        <v>284.41000000000003</v>
      </c>
      <c r="D15" s="10">
        <v>363.07</v>
      </c>
      <c r="E15" s="10">
        <v>296.77</v>
      </c>
      <c r="F15" s="11">
        <f t="shared" si="0"/>
        <v>284.41000000000003</v>
      </c>
      <c r="G15" s="10">
        <v>194.05</v>
      </c>
      <c r="H15" s="10">
        <v>624.97</v>
      </c>
      <c r="I15" s="10">
        <v>388.11</v>
      </c>
      <c r="J15" s="11">
        <f t="shared" si="1"/>
        <v>194.05</v>
      </c>
      <c r="K15" s="8">
        <f t="shared" si="4"/>
        <v>19.41</v>
      </c>
    </row>
    <row r="16" spans="1:11" x14ac:dyDescent="0.3">
      <c r="A16" s="5">
        <v>7.5</v>
      </c>
      <c r="B16" s="6">
        <v>287.33</v>
      </c>
      <c r="C16" s="6">
        <v>292.27999999999997</v>
      </c>
      <c r="D16" s="6">
        <v>373.13</v>
      </c>
      <c r="E16" s="6">
        <v>304.99</v>
      </c>
      <c r="F16" s="7">
        <f t="shared" si="0"/>
        <v>292.27999999999997</v>
      </c>
      <c r="G16" s="6">
        <v>201.13</v>
      </c>
      <c r="H16" s="6">
        <v>647.76</v>
      </c>
      <c r="I16" s="6">
        <v>402.26</v>
      </c>
      <c r="J16" s="7">
        <f t="shared" si="1"/>
        <v>201.13</v>
      </c>
      <c r="K16" s="8">
        <f t="shared" si="4"/>
        <v>20.11</v>
      </c>
    </row>
    <row r="17" spans="1:11" x14ac:dyDescent="0.3">
      <c r="A17" s="9">
        <v>8</v>
      </c>
      <c r="B17" s="10">
        <v>297.75</v>
      </c>
      <c r="C17" s="10">
        <v>300.16000000000003</v>
      </c>
      <c r="D17" s="10">
        <v>383.18</v>
      </c>
      <c r="E17" s="10">
        <v>313.20999999999998</v>
      </c>
      <c r="F17" s="11">
        <f t="shared" si="0"/>
        <v>300.16000000000003</v>
      </c>
      <c r="G17" s="10">
        <v>208.43</v>
      </c>
      <c r="H17" s="10">
        <v>671.26</v>
      </c>
      <c r="I17" s="10">
        <v>416.85</v>
      </c>
      <c r="J17" s="11">
        <f t="shared" si="1"/>
        <v>208.43</v>
      </c>
      <c r="K17" s="8">
        <f t="shared" si="4"/>
        <v>20.84</v>
      </c>
    </row>
    <row r="18" spans="1:11" x14ac:dyDescent="0.3">
      <c r="A18" s="5">
        <v>8.5</v>
      </c>
      <c r="B18" s="6">
        <v>307.44</v>
      </c>
      <c r="C18" s="6">
        <v>307.92</v>
      </c>
      <c r="D18" s="6">
        <v>393.09</v>
      </c>
      <c r="E18" s="6">
        <v>321.31</v>
      </c>
      <c r="F18" s="7">
        <f t="shared" si="0"/>
        <v>307.92</v>
      </c>
      <c r="G18" s="6">
        <v>215.21</v>
      </c>
      <c r="H18" s="6">
        <v>693.1</v>
      </c>
      <c r="I18" s="6">
        <v>430.41</v>
      </c>
      <c r="J18" s="7">
        <f t="shared" si="1"/>
        <v>215.21</v>
      </c>
      <c r="K18" s="8">
        <f t="shared" si="4"/>
        <v>21.52</v>
      </c>
    </row>
    <row r="19" spans="1:11" x14ac:dyDescent="0.3">
      <c r="A19" s="9">
        <v>9</v>
      </c>
      <c r="B19" s="10">
        <v>317.38</v>
      </c>
      <c r="C19" s="10">
        <v>315.70999999999998</v>
      </c>
      <c r="D19" s="10">
        <v>403.03</v>
      </c>
      <c r="E19" s="10">
        <v>329.43</v>
      </c>
      <c r="F19" s="11">
        <f t="shared" si="0"/>
        <v>315.70999999999998</v>
      </c>
      <c r="G19" s="10">
        <v>222.17</v>
      </c>
      <c r="H19" s="10">
        <v>715.52</v>
      </c>
      <c r="I19" s="10">
        <v>444.34</v>
      </c>
      <c r="J19" s="11">
        <f t="shared" si="1"/>
        <v>222.17</v>
      </c>
      <c r="K19" s="8">
        <f t="shared" si="4"/>
        <v>22.22</v>
      </c>
    </row>
    <row r="20" spans="1:11" x14ac:dyDescent="0.3">
      <c r="A20" s="12">
        <v>9.5</v>
      </c>
      <c r="B20" s="13">
        <v>326.97000000000003</v>
      </c>
      <c r="C20" s="13">
        <v>323.25</v>
      </c>
      <c r="D20" s="13">
        <v>412.65</v>
      </c>
      <c r="E20" s="13">
        <v>337.3</v>
      </c>
      <c r="F20" s="14">
        <f t="shared" si="0"/>
        <v>323.25</v>
      </c>
      <c r="G20" s="13">
        <v>228.88</v>
      </c>
      <c r="H20" s="13">
        <v>737.14</v>
      </c>
      <c r="I20" s="13">
        <v>457.76</v>
      </c>
      <c r="J20" s="14">
        <f t="shared" si="1"/>
        <v>228.88</v>
      </c>
      <c r="K20" s="15">
        <f t="shared" si="4"/>
        <v>22.89</v>
      </c>
    </row>
    <row r="21" spans="1:11" x14ac:dyDescent="0.3">
      <c r="A21" s="12">
        <v>10</v>
      </c>
      <c r="B21" s="13">
        <v>336.2</v>
      </c>
      <c r="C21" s="13">
        <v>330.77</v>
      </c>
      <c r="D21" s="13">
        <v>422.26</v>
      </c>
      <c r="E21" s="13">
        <v>345.15</v>
      </c>
      <c r="F21" s="14">
        <f t="shared" si="0"/>
        <v>330.77</v>
      </c>
      <c r="G21" s="13">
        <v>235.34</v>
      </c>
      <c r="H21" s="13">
        <v>757.93</v>
      </c>
      <c r="I21" s="13">
        <v>470.67</v>
      </c>
      <c r="J21" s="14">
        <f t="shared" si="1"/>
        <v>235.34</v>
      </c>
      <c r="K21" s="15">
        <f t="shared" si="4"/>
        <v>23.53</v>
      </c>
    </row>
    <row r="22" spans="1:11" x14ac:dyDescent="0.3">
      <c r="A22" s="5">
        <v>11</v>
      </c>
      <c r="B22" s="6">
        <v>350.62</v>
      </c>
      <c r="C22" s="6">
        <v>343.78</v>
      </c>
      <c r="D22" s="6">
        <v>438.87</v>
      </c>
      <c r="E22" s="6">
        <v>358.73</v>
      </c>
      <c r="F22" s="7">
        <f t="shared" si="0"/>
        <v>343.78</v>
      </c>
      <c r="G22" s="6">
        <v>245.43</v>
      </c>
      <c r="H22" s="6">
        <v>790.44</v>
      </c>
      <c r="I22" s="6">
        <v>490.86</v>
      </c>
      <c r="J22" s="7">
        <f t="shared" si="1"/>
        <v>245.43</v>
      </c>
      <c r="K22" s="8">
        <f t="shared" si="4"/>
        <v>24.54</v>
      </c>
    </row>
    <row r="23" spans="1:11" x14ac:dyDescent="0.3">
      <c r="A23" s="9">
        <v>12</v>
      </c>
      <c r="B23" s="10">
        <v>364.58</v>
      </c>
      <c r="C23" s="10">
        <v>356.53368999999998</v>
      </c>
      <c r="D23" s="10">
        <v>455.14</v>
      </c>
      <c r="E23" s="10">
        <v>372.03</v>
      </c>
      <c r="F23" s="11">
        <f t="shared" si="0"/>
        <v>356.53368999999998</v>
      </c>
      <c r="G23" s="10">
        <v>255.21</v>
      </c>
      <c r="H23" s="10">
        <v>821.93</v>
      </c>
      <c r="I23" s="10">
        <v>510.42</v>
      </c>
      <c r="J23" s="11">
        <f t="shared" si="1"/>
        <v>255.21</v>
      </c>
      <c r="K23" s="8">
        <f t="shared" si="4"/>
        <v>25.52</v>
      </c>
    </row>
    <row r="24" spans="1:11" x14ac:dyDescent="0.3">
      <c r="A24" s="5">
        <v>13</v>
      </c>
      <c r="B24" s="6">
        <v>378.09</v>
      </c>
      <c r="C24" s="6">
        <v>369.03</v>
      </c>
      <c r="D24" s="6">
        <v>471.1</v>
      </c>
      <c r="E24" s="6">
        <v>385.07</v>
      </c>
      <c r="F24" s="7">
        <f t="shared" si="0"/>
        <v>369.03</v>
      </c>
      <c r="G24" s="6">
        <v>264.66000000000003</v>
      </c>
      <c r="H24" s="6">
        <v>852.38</v>
      </c>
      <c r="I24" s="6">
        <v>529.33000000000004</v>
      </c>
      <c r="J24" s="7">
        <f t="shared" si="1"/>
        <v>264.66000000000003</v>
      </c>
      <c r="K24" s="8">
        <f t="shared" si="4"/>
        <v>26.47</v>
      </c>
    </row>
    <row r="25" spans="1:11" ht="15.65" thickBot="1" x14ac:dyDescent="0.35">
      <c r="A25" s="16">
        <v>14</v>
      </c>
      <c r="B25" s="17">
        <v>391.78</v>
      </c>
      <c r="C25" s="17">
        <v>381.35</v>
      </c>
      <c r="D25" s="17">
        <v>486.83</v>
      </c>
      <c r="E25" s="17">
        <v>397.93</v>
      </c>
      <c r="F25" s="18">
        <f t="shared" si="0"/>
        <v>381.35</v>
      </c>
      <c r="G25" s="17">
        <v>274.25</v>
      </c>
      <c r="H25" s="17">
        <v>883.24</v>
      </c>
      <c r="I25" s="17">
        <v>548.49</v>
      </c>
      <c r="J25" s="18">
        <f t="shared" si="1"/>
        <v>274.25</v>
      </c>
      <c r="K25" s="15">
        <f t="shared" si="4"/>
        <v>27.43</v>
      </c>
    </row>
    <row r="26" spans="1:11" ht="15.65" thickBot="1" x14ac:dyDescent="0.35">
      <c r="A26" s="19">
        <v>15</v>
      </c>
      <c r="B26" s="20">
        <v>404.15</v>
      </c>
      <c r="C26" s="20">
        <v>393.44</v>
      </c>
      <c r="D26" s="20">
        <v>502.27</v>
      </c>
      <c r="E26" s="20">
        <v>410.55</v>
      </c>
      <c r="F26" s="21">
        <f t="shared" si="0"/>
        <v>393.44</v>
      </c>
      <c r="G26" s="20">
        <v>282.91000000000003</v>
      </c>
      <c r="H26" s="20">
        <v>911.13</v>
      </c>
      <c r="I26" s="20">
        <v>565.80999999999995</v>
      </c>
      <c r="J26" s="21">
        <f t="shared" si="1"/>
        <v>282.91000000000003</v>
      </c>
      <c r="K26" s="22">
        <f t="shared" si="4"/>
        <v>28.29</v>
      </c>
    </row>
    <row r="27" spans="1:11" x14ac:dyDescent="0.3">
      <c r="A27" s="5">
        <v>16</v>
      </c>
      <c r="B27" s="7">
        <f>((B26+(B31-B26)/5))</f>
        <v>422.78</v>
      </c>
      <c r="C27" s="7">
        <f t="shared" ref="C27:I27" si="5">((C26+(C31-C26)/5))</f>
        <v>408.42599999999999</v>
      </c>
      <c r="D27" s="7">
        <f t="shared" si="5"/>
        <v>521.4</v>
      </c>
      <c r="E27" s="7">
        <f t="shared" si="5"/>
        <v>426.18600000000004</v>
      </c>
      <c r="F27" s="7">
        <f t="shared" si="5"/>
        <v>408.42599999999999</v>
      </c>
      <c r="G27" s="7">
        <f t="shared" si="5"/>
        <v>295.95000000000005</v>
      </c>
      <c r="H27" s="7">
        <f t="shared" si="5"/>
        <v>953.12799999999993</v>
      </c>
      <c r="I27" s="7">
        <f t="shared" si="5"/>
        <v>591.89199999999994</v>
      </c>
      <c r="J27" s="7">
        <f t="shared" si="1"/>
        <v>295.95000000000005</v>
      </c>
      <c r="K27" s="8">
        <f t="shared" si="4"/>
        <v>29.6</v>
      </c>
    </row>
    <row r="28" spans="1:11" x14ac:dyDescent="0.3">
      <c r="A28" s="9">
        <v>17</v>
      </c>
      <c r="B28" s="11">
        <f>((B27+(B31-B27)/4))</f>
        <v>441.40999999999997</v>
      </c>
      <c r="C28" s="11">
        <f>((C27+(C31-C27)/4))</f>
        <v>423.41199999999998</v>
      </c>
      <c r="D28" s="11">
        <f>((D27+(D31-D27)/4))</f>
        <v>540.53</v>
      </c>
      <c r="E28" s="11">
        <f>((E27+(E31-E27)/4))</f>
        <v>441.822</v>
      </c>
      <c r="F28" s="11">
        <f t="shared" ref="F28:F91" si="6">C28</f>
        <v>423.41199999999998</v>
      </c>
      <c r="G28" s="11">
        <f>((G27+(G31-G27)/4))</f>
        <v>308.99</v>
      </c>
      <c r="H28" s="11">
        <f>((H27+(H31-H27)/4))</f>
        <v>995.12599999999998</v>
      </c>
      <c r="I28" s="11">
        <f>((I27+(I31-I27)/4))</f>
        <v>617.97399999999993</v>
      </c>
      <c r="J28" s="11">
        <f t="shared" si="1"/>
        <v>308.99</v>
      </c>
      <c r="K28" s="8">
        <f t="shared" si="4"/>
        <v>30.9</v>
      </c>
    </row>
    <row r="29" spans="1:11" x14ac:dyDescent="0.3">
      <c r="A29" s="5">
        <v>18</v>
      </c>
      <c r="B29" s="7">
        <f>((B28+(B31-B28)/3))</f>
        <v>460.03999999999996</v>
      </c>
      <c r="C29" s="7">
        <f>((C28+(C31-C28)/3))</f>
        <v>438.39799999999997</v>
      </c>
      <c r="D29" s="7">
        <f>((D28+(D31-D28)/3))</f>
        <v>559.66</v>
      </c>
      <c r="E29" s="7">
        <f>((E28+(E31-E28)/3))</f>
        <v>457.45800000000003</v>
      </c>
      <c r="F29" s="7">
        <f t="shared" si="6"/>
        <v>438.39799999999997</v>
      </c>
      <c r="G29" s="7">
        <f>((G28+(G31-G28)/3))</f>
        <v>322.03000000000003</v>
      </c>
      <c r="H29" s="7">
        <f>((H28+(H31-H28)/3))</f>
        <v>1037.124</v>
      </c>
      <c r="I29" s="7">
        <f>((I28+(I31-I28)/3))</f>
        <v>644.05599999999993</v>
      </c>
      <c r="J29" s="7">
        <f t="shared" si="1"/>
        <v>322.03000000000003</v>
      </c>
      <c r="K29" s="8">
        <f t="shared" si="4"/>
        <v>32.200000000000003</v>
      </c>
    </row>
    <row r="30" spans="1:11" ht="15.65" thickBot="1" x14ac:dyDescent="0.35">
      <c r="A30" s="16">
        <v>19</v>
      </c>
      <c r="B30" s="18">
        <f>((B29+(B31-B29)/2))</f>
        <v>478.66999999999996</v>
      </c>
      <c r="C30" s="18">
        <f>((C29+(C31-C29)/2))</f>
        <v>453.38400000000001</v>
      </c>
      <c r="D30" s="18">
        <f>((D29+(D31-D29)/2))</f>
        <v>578.79</v>
      </c>
      <c r="E30" s="18">
        <f>((E29+(E31-E29)/2))</f>
        <v>473.09400000000005</v>
      </c>
      <c r="F30" s="18">
        <f t="shared" si="6"/>
        <v>453.38400000000001</v>
      </c>
      <c r="G30" s="18">
        <f>((G29+(G31-G29)/2))</f>
        <v>335.07000000000005</v>
      </c>
      <c r="H30" s="18">
        <f>((H29+(H31-H29)/2))</f>
        <v>1079.1219999999998</v>
      </c>
      <c r="I30" s="18">
        <f>((I29+(I31-I29)/2))</f>
        <v>670.13799999999992</v>
      </c>
      <c r="J30" s="18">
        <f t="shared" si="1"/>
        <v>335.07000000000005</v>
      </c>
      <c r="K30" s="15">
        <f t="shared" si="4"/>
        <v>33.51</v>
      </c>
    </row>
    <row r="31" spans="1:11" ht="16.3" thickBot="1" x14ac:dyDescent="0.35">
      <c r="A31" s="19">
        <v>20</v>
      </c>
      <c r="B31" s="23">
        <v>497.3</v>
      </c>
      <c r="C31" s="23">
        <v>468.37</v>
      </c>
      <c r="D31" s="23">
        <v>597.91999999999996</v>
      </c>
      <c r="E31" s="23">
        <v>488.73</v>
      </c>
      <c r="F31" s="24">
        <f t="shared" si="6"/>
        <v>468.37</v>
      </c>
      <c r="G31" s="23">
        <v>348.11</v>
      </c>
      <c r="H31" s="23">
        <v>1121.1199999999999</v>
      </c>
      <c r="I31" s="23">
        <v>696.22</v>
      </c>
      <c r="J31" s="24">
        <f t="shared" si="1"/>
        <v>348.11</v>
      </c>
      <c r="K31" s="22">
        <f t="shared" si="4"/>
        <v>34.81</v>
      </c>
    </row>
    <row r="32" spans="1:11" x14ac:dyDescent="0.3">
      <c r="A32" s="5">
        <v>21</v>
      </c>
      <c r="B32" s="7">
        <f>((B31+(B36-B31)/5))</f>
        <v>515.91600000000005</v>
      </c>
      <c r="C32" s="7">
        <f>((C31+(C36-C31)/5))</f>
        <v>483.34399999999999</v>
      </c>
      <c r="D32" s="7">
        <f>((D31+(D36-D31)/5))</f>
        <v>617.03599999999994</v>
      </c>
      <c r="E32" s="7">
        <f>((E31+(E36-E31)/5))</f>
        <v>504.35599999999999</v>
      </c>
      <c r="F32" s="7">
        <f t="shared" si="6"/>
        <v>483.34399999999999</v>
      </c>
      <c r="G32" s="7">
        <f>((G31+(G36-G31)/5))</f>
        <v>361.142</v>
      </c>
      <c r="H32" s="7">
        <f>((H31+(H36-H31)/5))</f>
        <v>1163.0919999999999</v>
      </c>
      <c r="I32" s="7">
        <f>((I31+(I36-I31)/5))</f>
        <v>722.28399999999999</v>
      </c>
      <c r="J32" s="7">
        <f t="shared" si="1"/>
        <v>361.142</v>
      </c>
      <c r="K32" s="8">
        <f t="shared" si="4"/>
        <v>36.11</v>
      </c>
    </row>
    <row r="33" spans="1:11" x14ac:dyDescent="0.3">
      <c r="A33" s="9">
        <v>22</v>
      </c>
      <c r="B33" s="11">
        <f>((B32+(B36-B32)/4))</f>
        <v>534.53200000000004</v>
      </c>
      <c r="C33" s="11">
        <f>((C32+(C36-C32)/4))</f>
        <v>498.31799999999998</v>
      </c>
      <c r="D33" s="11">
        <f>((D32+(D36-D32)/4))</f>
        <v>636.15199999999993</v>
      </c>
      <c r="E33" s="11">
        <f>((E32+(E36-E32)/4))</f>
        <v>519.98199999999997</v>
      </c>
      <c r="F33" s="11">
        <f t="shared" si="6"/>
        <v>498.31799999999998</v>
      </c>
      <c r="G33" s="11">
        <f>((G32+(G36-G32)/4))</f>
        <v>374.17399999999998</v>
      </c>
      <c r="H33" s="11">
        <f>((H32+(H36-H32)/4))</f>
        <v>1205.0639999999999</v>
      </c>
      <c r="I33" s="11">
        <f>((I32+(I36-I32)/4))</f>
        <v>748.34799999999996</v>
      </c>
      <c r="J33" s="11">
        <f t="shared" si="1"/>
        <v>374.17399999999998</v>
      </c>
      <c r="K33" s="8">
        <f t="shared" si="4"/>
        <v>37.42</v>
      </c>
    </row>
    <row r="34" spans="1:11" x14ac:dyDescent="0.3">
      <c r="A34" s="5">
        <v>23</v>
      </c>
      <c r="B34" s="7">
        <f>((B33+(B36-B33)/3))</f>
        <v>553.14800000000002</v>
      </c>
      <c r="C34" s="7">
        <f>((C33+(C36-C33)/3))</f>
        <v>513.29200000000003</v>
      </c>
      <c r="D34" s="7">
        <f>((D33+(D36-D33)/3))</f>
        <v>655.26799999999992</v>
      </c>
      <c r="E34" s="7">
        <f>((E33+(E36-E33)/3))</f>
        <v>535.60799999999995</v>
      </c>
      <c r="F34" s="7">
        <f t="shared" si="6"/>
        <v>513.29200000000003</v>
      </c>
      <c r="G34" s="7">
        <f>((G33+(G36-G33)/3))</f>
        <v>387.20599999999996</v>
      </c>
      <c r="H34" s="7">
        <f>((H33+(H36-H33)/3))</f>
        <v>1247.0359999999998</v>
      </c>
      <c r="I34" s="7">
        <f>((I33+(I36-I33)/3))</f>
        <v>774.41199999999992</v>
      </c>
      <c r="J34" s="7">
        <f t="shared" si="1"/>
        <v>387.20599999999996</v>
      </c>
      <c r="K34" s="8">
        <f t="shared" si="4"/>
        <v>38.72</v>
      </c>
    </row>
    <row r="35" spans="1:11" ht="15.65" thickBot="1" x14ac:dyDescent="0.35">
      <c r="A35" s="16">
        <v>24</v>
      </c>
      <c r="B35" s="18">
        <f>((B34+(B36-B34)/2))</f>
        <v>571.76400000000001</v>
      </c>
      <c r="C35" s="18">
        <f>((C34+(C36-C34)/2))</f>
        <v>528.26600000000008</v>
      </c>
      <c r="D35" s="18">
        <f>((D34+(D36-D34)/2))</f>
        <v>674.38400000000001</v>
      </c>
      <c r="E35" s="18">
        <f>((E34+(E36-E34)/2))</f>
        <v>551.23399999999992</v>
      </c>
      <c r="F35" s="18">
        <f t="shared" si="6"/>
        <v>528.26600000000008</v>
      </c>
      <c r="G35" s="18">
        <f>((G34+(G36-G34)/2))</f>
        <v>400.23799999999994</v>
      </c>
      <c r="H35" s="18">
        <f>((H34+(H36-H34)/2))</f>
        <v>1289.0079999999998</v>
      </c>
      <c r="I35" s="18">
        <f>((I34+(I36-I34)/2))</f>
        <v>800.47599999999989</v>
      </c>
      <c r="J35" s="18">
        <f t="shared" si="1"/>
        <v>400.23799999999994</v>
      </c>
      <c r="K35" s="15">
        <f t="shared" si="4"/>
        <v>40.020000000000003</v>
      </c>
    </row>
    <row r="36" spans="1:11" ht="16.3" thickBot="1" x14ac:dyDescent="0.35">
      <c r="A36" s="19">
        <v>25</v>
      </c>
      <c r="B36" s="23">
        <v>590.38</v>
      </c>
      <c r="C36" s="23">
        <v>543.24</v>
      </c>
      <c r="D36" s="23">
        <v>693.5</v>
      </c>
      <c r="E36" s="23">
        <v>566.86</v>
      </c>
      <c r="F36" s="24">
        <f t="shared" si="6"/>
        <v>543.24</v>
      </c>
      <c r="G36" s="23">
        <v>413.27</v>
      </c>
      <c r="H36" s="23">
        <v>1330.98</v>
      </c>
      <c r="I36" s="23">
        <v>826.54</v>
      </c>
      <c r="J36" s="24">
        <f t="shared" si="1"/>
        <v>413.27</v>
      </c>
      <c r="K36" s="22">
        <f t="shared" si="4"/>
        <v>41.33</v>
      </c>
    </row>
    <row r="37" spans="1:11" x14ac:dyDescent="0.3">
      <c r="A37" s="5">
        <v>26</v>
      </c>
      <c r="B37" s="7">
        <f>((B36+(B41-B36)/5))</f>
        <v>599.02599999999995</v>
      </c>
      <c r="C37" s="7">
        <f>((C36+(C41-C36)/5))</f>
        <v>553.34</v>
      </c>
      <c r="D37" s="7">
        <f>((D36+(D41-D36)/5))</f>
        <v>706.39400000000001</v>
      </c>
      <c r="E37" s="7">
        <f>((E36+(E41-E36)/5))</f>
        <v>577.4</v>
      </c>
      <c r="F37" s="7">
        <f t="shared" si="6"/>
        <v>553.34</v>
      </c>
      <c r="G37" s="7">
        <f>((G36+(G41-G36)/5))</f>
        <v>419.322</v>
      </c>
      <c r="H37" s="7">
        <f>((H36+(H41-H36)/5))</f>
        <v>1350.472</v>
      </c>
      <c r="I37" s="7">
        <f>((I36+(I41-I36)/5))</f>
        <v>838.64400000000001</v>
      </c>
      <c r="J37" s="7">
        <f t="shared" si="1"/>
        <v>419.322</v>
      </c>
      <c r="K37" s="8">
        <f t="shared" si="4"/>
        <v>41.93</v>
      </c>
    </row>
    <row r="38" spans="1:11" x14ac:dyDescent="0.3">
      <c r="A38" s="9">
        <v>27</v>
      </c>
      <c r="B38" s="11">
        <f>((B37+(B41-B37)/4))</f>
        <v>607.67200000000003</v>
      </c>
      <c r="C38" s="11">
        <f>((C37+(C41-C37)/4))</f>
        <v>563.44000000000005</v>
      </c>
      <c r="D38" s="11">
        <f>((D37+(D41-D37)/4))</f>
        <v>719.28800000000001</v>
      </c>
      <c r="E38" s="11">
        <f>((E37+(E41-E37)/4))</f>
        <v>587.93999999999994</v>
      </c>
      <c r="F38" s="11">
        <f t="shared" si="6"/>
        <v>563.44000000000005</v>
      </c>
      <c r="G38" s="11">
        <f>((G37+(G41-G37)/4))</f>
        <v>425.37400000000002</v>
      </c>
      <c r="H38" s="11">
        <f>((H37+(H41-H37)/4))</f>
        <v>1369.9639999999999</v>
      </c>
      <c r="I38" s="11">
        <f>((I37+(I41-I37)/4))</f>
        <v>850.74800000000005</v>
      </c>
      <c r="J38" s="11">
        <f t="shared" si="1"/>
        <v>425.37400000000002</v>
      </c>
      <c r="K38" s="8">
        <f t="shared" si="4"/>
        <v>42.54</v>
      </c>
    </row>
    <row r="39" spans="1:11" x14ac:dyDescent="0.3">
      <c r="A39" s="5">
        <v>28</v>
      </c>
      <c r="B39" s="7">
        <f>((B38+(B41-B38)/3))</f>
        <v>616.31799999999998</v>
      </c>
      <c r="C39" s="7">
        <f>((C38+(C41-C38)/3))</f>
        <v>573.54000000000008</v>
      </c>
      <c r="D39" s="7">
        <f>((D38+(D41-D38)/3))</f>
        <v>732.18200000000002</v>
      </c>
      <c r="E39" s="7">
        <f>((E38+(E41-E38)/3))</f>
        <v>598.4799999999999</v>
      </c>
      <c r="F39" s="7">
        <f t="shared" si="6"/>
        <v>573.54000000000008</v>
      </c>
      <c r="G39" s="7">
        <f>((G38+(G41-G38)/3))</f>
        <v>431.42599999999999</v>
      </c>
      <c r="H39" s="7">
        <f>((H38+(H41-H38)/3))</f>
        <v>1389.4559999999999</v>
      </c>
      <c r="I39" s="7">
        <f>((I38+(I41-I38)/3))</f>
        <v>862.85199999999998</v>
      </c>
      <c r="J39" s="7">
        <f t="shared" si="1"/>
        <v>431.42599999999999</v>
      </c>
      <c r="K39" s="8">
        <f t="shared" si="4"/>
        <v>43.14</v>
      </c>
    </row>
    <row r="40" spans="1:11" ht="15.65" thickBot="1" x14ac:dyDescent="0.35">
      <c r="A40" s="16">
        <v>29</v>
      </c>
      <c r="B40" s="18">
        <f>((B39+(B41-B39)/2))</f>
        <v>624.96399999999994</v>
      </c>
      <c r="C40" s="18">
        <f>((C39+(C41-C39)/2))</f>
        <v>583.6400000000001</v>
      </c>
      <c r="D40" s="18">
        <f>((D39+(D41-D39)/2))</f>
        <v>745.07600000000002</v>
      </c>
      <c r="E40" s="18">
        <f>((E39+(E41-E39)/2))</f>
        <v>609.02</v>
      </c>
      <c r="F40" s="18">
        <f t="shared" si="6"/>
        <v>583.6400000000001</v>
      </c>
      <c r="G40" s="18">
        <f>((G39+(G41-G39)/2))</f>
        <v>437.47799999999995</v>
      </c>
      <c r="H40" s="18">
        <f>((H39+(H41-H39)/2))</f>
        <v>1408.9479999999999</v>
      </c>
      <c r="I40" s="18">
        <f>((I39+(I41-I39)/2))</f>
        <v>874.9559999999999</v>
      </c>
      <c r="J40" s="18">
        <f t="shared" si="1"/>
        <v>437.47799999999995</v>
      </c>
      <c r="K40" s="15">
        <f t="shared" si="4"/>
        <v>43.75</v>
      </c>
    </row>
    <row r="41" spans="1:11" ht="16.3" thickBot="1" x14ac:dyDescent="0.35">
      <c r="A41" s="19">
        <v>30</v>
      </c>
      <c r="B41" s="23">
        <v>633.61</v>
      </c>
      <c r="C41" s="23">
        <v>593.74</v>
      </c>
      <c r="D41" s="23">
        <v>757.97</v>
      </c>
      <c r="E41" s="23">
        <v>619.55999999999995</v>
      </c>
      <c r="F41" s="24">
        <f t="shared" si="6"/>
        <v>593.74</v>
      </c>
      <c r="G41" s="23">
        <v>443.53</v>
      </c>
      <c r="H41" s="23">
        <v>1428.44</v>
      </c>
      <c r="I41" s="23">
        <v>887.06</v>
      </c>
      <c r="J41" s="24">
        <f t="shared" si="1"/>
        <v>443.53</v>
      </c>
      <c r="K41" s="22">
        <f t="shared" si="4"/>
        <v>44.35</v>
      </c>
    </row>
    <row r="42" spans="1:11" x14ac:dyDescent="0.3">
      <c r="A42" s="5">
        <v>31</v>
      </c>
      <c r="B42" s="7">
        <f>((B41+(B46-B41)/5))</f>
        <v>650.68000000000006</v>
      </c>
      <c r="C42" s="7">
        <f>((C41+(C46-C41)/5))</f>
        <v>607.90800000000002</v>
      </c>
      <c r="D42" s="7">
        <f>((D41+(D46-D41)/5))</f>
        <v>776.05399999999997</v>
      </c>
      <c r="E42" s="7">
        <f>((E41+(E46-E41)/5))</f>
        <v>634.34199999999998</v>
      </c>
      <c r="F42" s="7">
        <f t="shared" si="6"/>
        <v>607.90800000000002</v>
      </c>
      <c r="G42" s="7">
        <f>((G41+(G46-G41)/5))</f>
        <v>455.47799999999995</v>
      </c>
      <c r="H42" s="7">
        <f>((H41+(H46-H41)/5))</f>
        <v>1466.92</v>
      </c>
      <c r="I42" s="7">
        <f>((I41+(I46-I41)/5))</f>
        <v>910.9559999999999</v>
      </c>
      <c r="J42" s="7">
        <f t="shared" si="1"/>
        <v>455.47799999999995</v>
      </c>
      <c r="K42" s="8">
        <f t="shared" si="4"/>
        <v>45.55</v>
      </c>
    </row>
    <row r="43" spans="1:11" x14ac:dyDescent="0.3">
      <c r="A43" s="9">
        <v>32</v>
      </c>
      <c r="B43" s="11">
        <f>((B42+(B46-B42)/4))</f>
        <v>667.75</v>
      </c>
      <c r="C43" s="11">
        <f>((C42+(C46-C42)/4))</f>
        <v>622.07600000000002</v>
      </c>
      <c r="D43" s="11">
        <f>((D42+(D46-D42)/4))</f>
        <v>794.13799999999992</v>
      </c>
      <c r="E43" s="11">
        <f>((E42+(E46-E42)/4))</f>
        <v>649.12400000000002</v>
      </c>
      <c r="F43" s="11">
        <f t="shared" si="6"/>
        <v>622.07600000000002</v>
      </c>
      <c r="G43" s="11">
        <f>((G42+(G46-G42)/4))</f>
        <v>467.42599999999993</v>
      </c>
      <c r="H43" s="11">
        <f>((H42+(H46-H42)/4))</f>
        <v>1505.4</v>
      </c>
      <c r="I43" s="11">
        <f>((I42+(I46-I42)/4))</f>
        <v>934.85199999999986</v>
      </c>
      <c r="J43" s="11">
        <f t="shared" si="1"/>
        <v>467.42599999999993</v>
      </c>
      <c r="K43" s="8">
        <f t="shared" si="4"/>
        <v>46.74</v>
      </c>
    </row>
    <row r="44" spans="1:11" x14ac:dyDescent="0.3">
      <c r="A44" s="5">
        <v>33</v>
      </c>
      <c r="B44" s="7">
        <f>((B43+(B46-B43)/3))</f>
        <v>684.82</v>
      </c>
      <c r="C44" s="7">
        <f>((C43+(C46-C43)/3))</f>
        <v>636.24400000000003</v>
      </c>
      <c r="D44" s="7">
        <f>((D43+(D46-D43)/3))</f>
        <v>812.22199999999998</v>
      </c>
      <c r="E44" s="7">
        <f>((E43+(E46-E43)/3))</f>
        <v>663.90600000000006</v>
      </c>
      <c r="F44" s="7">
        <f t="shared" si="6"/>
        <v>636.24400000000003</v>
      </c>
      <c r="G44" s="7">
        <f>((G43+(G46-G43)/3))</f>
        <v>479.37399999999997</v>
      </c>
      <c r="H44" s="7">
        <f>((H43+(H46-H43)/3))</f>
        <v>1543.88</v>
      </c>
      <c r="I44" s="7">
        <f>((I43+(I46-I43)/3))</f>
        <v>958.74799999999993</v>
      </c>
      <c r="J44" s="7">
        <f t="shared" si="1"/>
        <v>479.37399999999997</v>
      </c>
      <c r="K44" s="8">
        <f t="shared" si="4"/>
        <v>47.94</v>
      </c>
    </row>
    <row r="45" spans="1:11" ht="15.65" thickBot="1" x14ac:dyDescent="0.35">
      <c r="A45" s="16">
        <v>34</v>
      </c>
      <c r="B45" s="18">
        <f>((B44+(B46-B44)/2))</f>
        <v>701.8900000000001</v>
      </c>
      <c r="C45" s="18">
        <f>((C44+(C46-C44)/2))</f>
        <v>650.41200000000003</v>
      </c>
      <c r="D45" s="18">
        <f>((D44+(D46-D44)/2))</f>
        <v>830.30600000000004</v>
      </c>
      <c r="E45" s="18">
        <f>((E44+(E46-E44)/2))</f>
        <v>678.6880000000001</v>
      </c>
      <c r="F45" s="18">
        <f t="shared" si="6"/>
        <v>650.41200000000003</v>
      </c>
      <c r="G45" s="18">
        <f>((G44+(G46-G44)/2))</f>
        <v>491.322</v>
      </c>
      <c r="H45" s="18">
        <f>((H44+(H46-H44)/2))</f>
        <v>1582.3600000000001</v>
      </c>
      <c r="I45" s="18">
        <f>((I44+(I46-I44)/2))</f>
        <v>982.64400000000001</v>
      </c>
      <c r="J45" s="18">
        <f t="shared" si="1"/>
        <v>491.322</v>
      </c>
      <c r="K45" s="15">
        <f t="shared" si="4"/>
        <v>49.13</v>
      </c>
    </row>
    <row r="46" spans="1:11" ht="16.3" thickBot="1" x14ac:dyDescent="0.35">
      <c r="A46" s="19">
        <v>35</v>
      </c>
      <c r="B46" s="23">
        <v>718.96</v>
      </c>
      <c r="C46" s="23">
        <v>664.58</v>
      </c>
      <c r="D46" s="23">
        <v>848.39</v>
      </c>
      <c r="E46" s="23">
        <v>693.47</v>
      </c>
      <c r="F46" s="24">
        <f t="shared" si="6"/>
        <v>664.58</v>
      </c>
      <c r="G46" s="23">
        <v>503.27</v>
      </c>
      <c r="H46" s="23">
        <v>1620.84</v>
      </c>
      <c r="I46" s="23">
        <v>1006.54</v>
      </c>
      <c r="J46" s="24">
        <f t="shared" si="1"/>
        <v>503.27</v>
      </c>
      <c r="K46" s="22">
        <f t="shared" si="4"/>
        <v>50.33</v>
      </c>
    </row>
    <row r="47" spans="1:11" x14ac:dyDescent="0.3">
      <c r="A47" s="5">
        <v>36</v>
      </c>
      <c r="B47" s="7">
        <f>((B46+(B51-B46)/5))</f>
        <v>736.01</v>
      </c>
      <c r="C47" s="7">
        <f>((C46+(C51-C46)/5))</f>
        <v>678.75200000000007</v>
      </c>
      <c r="D47" s="7">
        <f>((D46+(D51-D46)/5))</f>
        <v>866.48400000000004</v>
      </c>
      <c r="E47" s="7">
        <f>((E46+(E51-E46)/5))</f>
        <v>708.26</v>
      </c>
      <c r="F47" s="7">
        <f t="shared" si="6"/>
        <v>678.75200000000007</v>
      </c>
      <c r="G47" s="7">
        <f>((G46+(G51-G46)/5))</f>
        <v>515.20600000000002</v>
      </c>
      <c r="H47" s="7">
        <f>((H46+(H51-H46)/5))</f>
        <v>1659.28</v>
      </c>
      <c r="I47" s="7">
        <f>((I46+(I51-I46)/5))</f>
        <v>1030.412</v>
      </c>
      <c r="J47" s="7">
        <f t="shared" si="1"/>
        <v>515.20600000000002</v>
      </c>
      <c r="K47" s="8">
        <f t="shared" si="4"/>
        <v>51.52</v>
      </c>
    </row>
    <row r="48" spans="1:11" x14ac:dyDescent="0.3">
      <c r="A48" s="9">
        <v>37</v>
      </c>
      <c r="B48" s="11">
        <f>((B47+(B51-B47)/4))</f>
        <v>753.06</v>
      </c>
      <c r="C48" s="11">
        <f>((C47+(C51-C47)/4))</f>
        <v>692.92400000000009</v>
      </c>
      <c r="D48" s="11">
        <f>((D47+(D51-D47)/4))</f>
        <v>884.57799999999997</v>
      </c>
      <c r="E48" s="11">
        <f>((E47+(E51-E47)/4))</f>
        <v>723.05</v>
      </c>
      <c r="F48" s="11">
        <f t="shared" si="6"/>
        <v>692.92400000000009</v>
      </c>
      <c r="G48" s="11">
        <f>((G47+(G51-G47)/4))</f>
        <v>527.14200000000005</v>
      </c>
      <c r="H48" s="11">
        <f>((H47+(H51-H47)/4))</f>
        <v>1697.72</v>
      </c>
      <c r="I48" s="11">
        <f>((I47+(I51-I47)/4))</f>
        <v>1054.2840000000001</v>
      </c>
      <c r="J48" s="11">
        <f t="shared" si="1"/>
        <v>527.14200000000005</v>
      </c>
      <c r="K48" s="8">
        <f t="shared" si="4"/>
        <v>52.71</v>
      </c>
    </row>
    <row r="49" spans="1:11" x14ac:dyDescent="0.3">
      <c r="A49" s="5">
        <v>38</v>
      </c>
      <c r="B49" s="7">
        <f>((B48+(B51-B48)/3))</f>
        <v>770.11</v>
      </c>
      <c r="C49" s="7">
        <f>((C48+(C51-C48)/3))</f>
        <v>707.09600000000012</v>
      </c>
      <c r="D49" s="7">
        <f>((D48+(D51-D48)/3))</f>
        <v>902.67200000000003</v>
      </c>
      <c r="E49" s="7">
        <f>((E48+(E51-E48)/3))</f>
        <v>737.83999999999992</v>
      </c>
      <c r="F49" s="7">
        <f t="shared" si="6"/>
        <v>707.09600000000012</v>
      </c>
      <c r="G49" s="7">
        <f>((G48+(G51-G48)/3))</f>
        <v>539.07800000000009</v>
      </c>
      <c r="H49" s="7">
        <f>((H48+(H51-H48)/3))</f>
        <v>1736.16</v>
      </c>
      <c r="I49" s="7">
        <f>((I48+(I51-I48)/3))</f>
        <v>1078.1560000000002</v>
      </c>
      <c r="J49" s="7">
        <f t="shared" si="1"/>
        <v>539.07800000000009</v>
      </c>
      <c r="K49" s="8">
        <f t="shared" si="4"/>
        <v>53.91</v>
      </c>
    </row>
    <row r="50" spans="1:11" ht="15.65" thickBot="1" x14ac:dyDescent="0.35">
      <c r="A50" s="16">
        <v>39</v>
      </c>
      <c r="B50" s="18">
        <f>((B49+(B51-B49)/2))</f>
        <v>787.16000000000008</v>
      </c>
      <c r="C50" s="18">
        <f>((C49+(C51-C49)/2))</f>
        <v>721.26800000000003</v>
      </c>
      <c r="D50" s="18">
        <f>((D49+(D51-D49)/2))</f>
        <v>920.76600000000008</v>
      </c>
      <c r="E50" s="18">
        <f>((E49+(E51-E49)/2))</f>
        <v>752.62999999999988</v>
      </c>
      <c r="F50" s="18">
        <f t="shared" si="6"/>
        <v>721.26800000000003</v>
      </c>
      <c r="G50" s="18">
        <f>((G49+(G51-G49)/2))</f>
        <v>551.01400000000012</v>
      </c>
      <c r="H50" s="18">
        <f>((H49+(H51-H49)/2))</f>
        <v>1774.6</v>
      </c>
      <c r="I50" s="18">
        <f>((I49+(I51-I49)/2))</f>
        <v>1102.0280000000002</v>
      </c>
      <c r="J50" s="18">
        <f t="shared" si="1"/>
        <v>551.01400000000012</v>
      </c>
      <c r="K50" s="15">
        <f t="shared" si="4"/>
        <v>55.1</v>
      </c>
    </row>
    <row r="51" spans="1:11" ht="16.3" thickBot="1" x14ac:dyDescent="0.35">
      <c r="A51" s="19">
        <v>40</v>
      </c>
      <c r="B51" s="23">
        <v>804.21</v>
      </c>
      <c r="C51" s="23">
        <v>735.44</v>
      </c>
      <c r="D51" s="23">
        <v>938.86</v>
      </c>
      <c r="E51" s="23">
        <v>767.42</v>
      </c>
      <c r="F51" s="24">
        <f t="shared" si="6"/>
        <v>735.44</v>
      </c>
      <c r="G51" s="23">
        <v>562.95000000000005</v>
      </c>
      <c r="H51" s="23">
        <v>1813.04</v>
      </c>
      <c r="I51" s="23">
        <v>1125.9000000000001</v>
      </c>
      <c r="J51" s="24">
        <f t="shared" si="1"/>
        <v>562.95000000000005</v>
      </c>
      <c r="K51" s="22">
        <f t="shared" si="4"/>
        <v>56.3</v>
      </c>
    </row>
    <row r="52" spans="1:11" x14ac:dyDescent="0.3">
      <c r="A52" s="5">
        <v>41</v>
      </c>
      <c r="B52" s="7">
        <f>((B51+(B56-B51)/5))</f>
        <v>821.11</v>
      </c>
      <c r="C52" s="7">
        <f>((C51+(C56-C51)/5))</f>
        <v>749.6</v>
      </c>
      <c r="D52" s="7">
        <f>((D51+(D56-D51)/5))</f>
        <v>956.93600000000004</v>
      </c>
      <c r="E52" s="7">
        <f>((E51+(E56-E51)/5))</f>
        <v>782.19599999999991</v>
      </c>
      <c r="F52" s="7">
        <f t="shared" si="6"/>
        <v>749.6</v>
      </c>
      <c r="G52" s="7">
        <f>((G51+(G56-G51)/5))</f>
        <v>574.78000000000009</v>
      </c>
      <c r="H52" s="7">
        <f>((H51+(H56-H51)/5))</f>
        <v>1851.1379999999999</v>
      </c>
      <c r="I52" s="7">
        <f>((I51+(I56-I51)/5))</f>
        <v>1149.558</v>
      </c>
      <c r="J52" s="7">
        <f t="shared" si="1"/>
        <v>574.78000000000009</v>
      </c>
      <c r="K52" s="8">
        <f t="shared" si="4"/>
        <v>57.48</v>
      </c>
    </row>
    <row r="53" spans="1:11" x14ac:dyDescent="0.3">
      <c r="A53" s="9">
        <v>42</v>
      </c>
      <c r="B53" s="11">
        <f>((B52+(B56-B52)/4))</f>
        <v>838.01</v>
      </c>
      <c r="C53" s="11">
        <f>((C52+(C56-C52)/4))</f>
        <v>763.76</v>
      </c>
      <c r="D53" s="11">
        <f>((D52+(D56-D52)/4))</f>
        <v>975.01200000000006</v>
      </c>
      <c r="E53" s="11">
        <f>((E52+(E56-E52)/4))</f>
        <v>796.97199999999998</v>
      </c>
      <c r="F53" s="11">
        <f t="shared" si="6"/>
        <v>763.76</v>
      </c>
      <c r="G53" s="11">
        <f>((G52+(G56-G52)/4))</f>
        <v>586.61000000000013</v>
      </c>
      <c r="H53" s="11">
        <f>((H52+(H56-H52)/4))</f>
        <v>1889.2359999999999</v>
      </c>
      <c r="I53" s="11">
        <f>((I52+(I56-I52)/4))</f>
        <v>1173.2159999999999</v>
      </c>
      <c r="J53" s="11">
        <f t="shared" si="1"/>
        <v>586.61000000000013</v>
      </c>
      <c r="K53" s="8">
        <f t="shared" si="4"/>
        <v>58.66</v>
      </c>
    </row>
    <row r="54" spans="1:11" x14ac:dyDescent="0.3">
      <c r="A54" s="5">
        <v>43</v>
      </c>
      <c r="B54" s="7">
        <f>((B53+(B56-B53)/3))</f>
        <v>854.91</v>
      </c>
      <c r="C54" s="7">
        <f>((C53+(C56-C53)/3))</f>
        <v>777.92</v>
      </c>
      <c r="D54" s="7">
        <f>((D53+(D56-D53)/3))</f>
        <v>993.08800000000008</v>
      </c>
      <c r="E54" s="7">
        <f>((E53+(E56-E53)/3))</f>
        <v>811.74799999999993</v>
      </c>
      <c r="F54" s="7">
        <f t="shared" si="6"/>
        <v>777.92</v>
      </c>
      <c r="G54" s="7">
        <f>((G53+(G56-G53)/3))</f>
        <v>598.44000000000005</v>
      </c>
      <c r="H54" s="7">
        <f>((H53+(H56-H53)/3))</f>
        <v>1927.3339999999998</v>
      </c>
      <c r="I54" s="7">
        <f>((I53+(I56-I53)/3))</f>
        <v>1196.874</v>
      </c>
      <c r="J54" s="7">
        <f t="shared" si="1"/>
        <v>598.44000000000005</v>
      </c>
      <c r="K54" s="8">
        <f t="shared" si="4"/>
        <v>59.84</v>
      </c>
    </row>
    <row r="55" spans="1:11" ht="15.65" thickBot="1" x14ac:dyDescent="0.35">
      <c r="A55" s="16">
        <v>44</v>
      </c>
      <c r="B55" s="18">
        <f>((B54+(B56-B54)/2))</f>
        <v>871.81</v>
      </c>
      <c r="C55" s="18">
        <f>((C54+(C56-C54)/2))</f>
        <v>792.07999999999993</v>
      </c>
      <c r="D55" s="18">
        <f>((D54+(D56-D54)/2))</f>
        <v>1011.164</v>
      </c>
      <c r="E55" s="18">
        <f>((E54+(E56-E54)/2))</f>
        <v>826.52399999999989</v>
      </c>
      <c r="F55" s="18">
        <f t="shared" si="6"/>
        <v>792.07999999999993</v>
      </c>
      <c r="G55" s="18">
        <f>((G54+(G56-G54)/2))</f>
        <v>610.27</v>
      </c>
      <c r="H55" s="18">
        <f>((H54+(H56-H54)/2))</f>
        <v>1965.4319999999998</v>
      </c>
      <c r="I55" s="18">
        <f>((I54+(I56-I54)/2))</f>
        <v>1220.5320000000002</v>
      </c>
      <c r="J55" s="18">
        <f t="shared" si="1"/>
        <v>610.27</v>
      </c>
      <c r="K55" s="15">
        <f t="shared" si="4"/>
        <v>61.03</v>
      </c>
    </row>
    <row r="56" spans="1:11" ht="16.3" thickBot="1" x14ac:dyDescent="0.35">
      <c r="A56" s="19">
        <v>45</v>
      </c>
      <c r="B56" s="23">
        <v>888.71</v>
      </c>
      <c r="C56" s="23">
        <v>806.24</v>
      </c>
      <c r="D56" s="23">
        <v>1029.24</v>
      </c>
      <c r="E56" s="23">
        <v>841.3</v>
      </c>
      <c r="F56" s="24">
        <f t="shared" si="6"/>
        <v>806.24</v>
      </c>
      <c r="G56" s="23">
        <v>622.1</v>
      </c>
      <c r="H56" s="23">
        <v>2003.53</v>
      </c>
      <c r="I56" s="23">
        <v>1244.19</v>
      </c>
      <c r="J56" s="24">
        <f t="shared" si="1"/>
        <v>622.1</v>
      </c>
      <c r="K56" s="22">
        <f t="shared" si="4"/>
        <v>62.21</v>
      </c>
    </row>
    <row r="57" spans="1:11" x14ac:dyDescent="0.3">
      <c r="A57" s="5">
        <v>46</v>
      </c>
      <c r="B57" s="7">
        <f>((B56+(B61-B56)/5))</f>
        <v>895.404</v>
      </c>
      <c r="C57" s="7">
        <f>((C56+(C61-C56)/5))</f>
        <v>815.31000000000006</v>
      </c>
      <c r="D57" s="7">
        <f>((D56+(D61-D56)/5))</f>
        <v>1040.818</v>
      </c>
      <c r="E57" s="7">
        <f>((E56+(E61-E56)/5))</f>
        <v>850.76199999999994</v>
      </c>
      <c r="F57" s="7">
        <f t="shared" si="6"/>
        <v>815.31000000000006</v>
      </c>
      <c r="G57" s="7">
        <f>((G56+(G61-G56)/5))</f>
        <v>626.78600000000006</v>
      </c>
      <c r="H57" s="7">
        <f>((H56+(H61-H56)/5))</f>
        <v>2018.6219999999998</v>
      </c>
      <c r="I57" s="7">
        <f>((I56+(I61-I56)/5))</f>
        <v>1253.5620000000001</v>
      </c>
      <c r="J57" s="7">
        <f t="shared" si="1"/>
        <v>626.78600000000006</v>
      </c>
      <c r="K57" s="8">
        <f t="shared" si="4"/>
        <v>62.68</v>
      </c>
    </row>
    <row r="58" spans="1:11" x14ac:dyDescent="0.3">
      <c r="A58" s="9">
        <v>47</v>
      </c>
      <c r="B58" s="11">
        <f>((B57+(B61-B57)/4))</f>
        <v>902.09799999999996</v>
      </c>
      <c r="C58" s="11">
        <f>((C57+(C61-C57)/4))</f>
        <v>824.38000000000011</v>
      </c>
      <c r="D58" s="11">
        <f>((D57+(D61-D57)/4))</f>
        <v>1052.396</v>
      </c>
      <c r="E58" s="11">
        <f>((E57+(E61-E57)/4))</f>
        <v>860.22399999999993</v>
      </c>
      <c r="F58" s="11">
        <f t="shared" si="6"/>
        <v>824.38000000000011</v>
      </c>
      <c r="G58" s="11">
        <f>((G57+(G61-G57)/4))</f>
        <v>631.47199999999998</v>
      </c>
      <c r="H58" s="11">
        <f>((H57+(H61-H57)/4))</f>
        <v>2033.7139999999999</v>
      </c>
      <c r="I58" s="11">
        <f>((I57+(I61-I57)/4))</f>
        <v>1262.9340000000002</v>
      </c>
      <c r="J58" s="11">
        <f t="shared" si="1"/>
        <v>631.47199999999998</v>
      </c>
      <c r="K58" s="8">
        <f t="shared" si="4"/>
        <v>63.15</v>
      </c>
    </row>
    <row r="59" spans="1:11" x14ac:dyDescent="0.3">
      <c r="A59" s="5">
        <v>48</v>
      </c>
      <c r="B59" s="7">
        <f>((B58+(B61-B58)/3))</f>
        <v>908.79199999999992</v>
      </c>
      <c r="C59" s="7">
        <f>((C58+(C61-C58)/3))</f>
        <v>833.45</v>
      </c>
      <c r="D59" s="7">
        <f>((D58+(D61-D58)/3))</f>
        <v>1063.9739999999999</v>
      </c>
      <c r="E59" s="7">
        <f>((E58+(E61-E58)/3))</f>
        <v>869.68599999999992</v>
      </c>
      <c r="F59" s="7">
        <f t="shared" si="6"/>
        <v>833.45</v>
      </c>
      <c r="G59" s="7">
        <f>((G58+(G61-G58)/3))</f>
        <v>636.15800000000002</v>
      </c>
      <c r="H59" s="7">
        <f>((H58+(H61-H58)/3))</f>
        <v>2048.806</v>
      </c>
      <c r="I59" s="7">
        <f>((I58+(I61-I58)/3))</f>
        <v>1272.306</v>
      </c>
      <c r="J59" s="7">
        <f t="shared" si="1"/>
        <v>636.15800000000002</v>
      </c>
      <c r="K59" s="8">
        <f t="shared" si="4"/>
        <v>63.62</v>
      </c>
    </row>
    <row r="60" spans="1:11" ht="15.65" thickBot="1" x14ac:dyDescent="0.35">
      <c r="A60" s="16">
        <v>49</v>
      </c>
      <c r="B60" s="18">
        <f>((B59+(B61-B59)/2))</f>
        <v>915.48599999999988</v>
      </c>
      <c r="C60" s="18">
        <f>((C59+(C61-C59)/2))</f>
        <v>842.52</v>
      </c>
      <c r="D60" s="18">
        <f>((D59+(D61-D59)/2))</f>
        <v>1075.5520000000001</v>
      </c>
      <c r="E60" s="18">
        <f>((E59+(E61-E59)/2))</f>
        <v>879.14799999999991</v>
      </c>
      <c r="F60" s="18">
        <f t="shared" si="6"/>
        <v>842.52</v>
      </c>
      <c r="G60" s="18">
        <f>((G59+(G61-G59)/2))</f>
        <v>640.84400000000005</v>
      </c>
      <c r="H60" s="18">
        <f>((H59+(H61-H59)/2))</f>
        <v>2063.8980000000001</v>
      </c>
      <c r="I60" s="18">
        <f>((I59+(I61-I59)/2))</f>
        <v>1281.6779999999999</v>
      </c>
      <c r="J60" s="18">
        <f t="shared" si="1"/>
        <v>640.84400000000005</v>
      </c>
      <c r="K60" s="15">
        <f t="shared" si="4"/>
        <v>64.08</v>
      </c>
    </row>
    <row r="61" spans="1:11" ht="16.3" thickBot="1" x14ac:dyDescent="0.35">
      <c r="A61" s="19">
        <v>50</v>
      </c>
      <c r="B61" s="23">
        <v>922.18</v>
      </c>
      <c r="C61" s="23">
        <v>851.59</v>
      </c>
      <c r="D61" s="23">
        <v>1087.1300000000001</v>
      </c>
      <c r="E61" s="23">
        <v>888.61</v>
      </c>
      <c r="F61" s="24">
        <f t="shared" si="6"/>
        <v>851.59</v>
      </c>
      <c r="G61" s="23">
        <v>645.53</v>
      </c>
      <c r="H61" s="23">
        <v>2078.9899999999998</v>
      </c>
      <c r="I61" s="23">
        <v>1291.05</v>
      </c>
      <c r="J61" s="24">
        <f t="shared" si="1"/>
        <v>645.53</v>
      </c>
      <c r="K61" s="22">
        <f t="shared" si="4"/>
        <v>64.55</v>
      </c>
    </row>
    <row r="62" spans="1:11" x14ac:dyDescent="0.3">
      <c r="A62" s="5">
        <v>51</v>
      </c>
      <c r="B62" s="7">
        <f>((B61+(B71-B61)/10))</f>
        <v>931.8119999999999</v>
      </c>
      <c r="C62" s="7">
        <f>((C61+(C71-C61)/10))</f>
        <v>862.197</v>
      </c>
      <c r="D62" s="7">
        <f>((D61+(D71-D61)/10))</f>
        <v>1100.672</v>
      </c>
      <c r="E62" s="7">
        <f>((E61+(E71-E61)/10))</f>
        <v>899.67899999999997</v>
      </c>
      <c r="F62" s="7">
        <f t="shared" si="6"/>
        <v>862.197</v>
      </c>
      <c r="G62" s="7">
        <f>((G61+(G71-G61)/10))</f>
        <v>652.27199999999993</v>
      </c>
      <c r="H62" s="7">
        <f>((H61+(H71-H61)/10))</f>
        <v>2100.7039999999997</v>
      </c>
      <c r="I62" s="7">
        <f>((I61+(I71-I61)/10))</f>
        <v>1304.5349999999999</v>
      </c>
      <c r="J62" s="7">
        <f t="shared" si="1"/>
        <v>652.27199999999993</v>
      </c>
      <c r="K62" s="8">
        <f t="shared" si="4"/>
        <v>65.23</v>
      </c>
    </row>
    <row r="63" spans="1:11" x14ac:dyDescent="0.3">
      <c r="A63" s="9">
        <v>52</v>
      </c>
      <c r="B63" s="11">
        <f>((B62+(B71-B62)/9))</f>
        <v>941.44399999999996</v>
      </c>
      <c r="C63" s="11">
        <f>((C62+(C71-C62)/9))</f>
        <v>872.80399999999997</v>
      </c>
      <c r="D63" s="11">
        <f>((D62+(D71-D62)/9))</f>
        <v>1114.2139999999999</v>
      </c>
      <c r="E63" s="11">
        <f>((E62+(E71-E62)/9))</f>
        <v>910.74799999999993</v>
      </c>
      <c r="F63" s="11">
        <f t="shared" si="6"/>
        <v>872.80399999999997</v>
      </c>
      <c r="G63" s="11">
        <f>((G62+(G71-G62)/9))</f>
        <v>659.0139999999999</v>
      </c>
      <c r="H63" s="11">
        <f>((H62+(H71-H62)/9))</f>
        <v>2122.4179999999997</v>
      </c>
      <c r="I63" s="11">
        <f>((I62+(I71-I62)/9))</f>
        <v>1318.02</v>
      </c>
      <c r="J63" s="11">
        <f t="shared" si="1"/>
        <v>659.0139999999999</v>
      </c>
      <c r="K63" s="8">
        <f t="shared" si="4"/>
        <v>65.900000000000006</v>
      </c>
    </row>
    <row r="64" spans="1:11" x14ac:dyDescent="0.3">
      <c r="A64" s="5">
        <v>53</v>
      </c>
      <c r="B64" s="7">
        <f>((B63+(B71-B63)/8))</f>
        <v>951.07600000000002</v>
      </c>
      <c r="C64" s="7">
        <f>((C63+(C71-C63)/8))</f>
        <v>883.41099999999994</v>
      </c>
      <c r="D64" s="7">
        <f>((D63+(D71-D63)/8))</f>
        <v>1127.7559999999999</v>
      </c>
      <c r="E64" s="7">
        <f>((E63+(E71-E63)/8))</f>
        <v>921.81699999999989</v>
      </c>
      <c r="F64" s="7">
        <f t="shared" si="6"/>
        <v>883.41099999999994</v>
      </c>
      <c r="G64" s="7">
        <f>((G63+(G71-G63)/8))</f>
        <v>665.75599999999986</v>
      </c>
      <c r="H64" s="7">
        <f>((H63+(H71-H63)/8))</f>
        <v>2144.1319999999996</v>
      </c>
      <c r="I64" s="7">
        <f>((I63+(I71-I63)/8))</f>
        <v>1331.5050000000001</v>
      </c>
      <c r="J64" s="7">
        <f t="shared" si="1"/>
        <v>665.75599999999986</v>
      </c>
      <c r="K64" s="8">
        <f t="shared" si="4"/>
        <v>66.58</v>
      </c>
    </row>
    <row r="65" spans="1:11" x14ac:dyDescent="0.3">
      <c r="A65" s="9">
        <v>54</v>
      </c>
      <c r="B65" s="11">
        <f>((B64+(B71-B64)/7))</f>
        <v>960.70799999999997</v>
      </c>
      <c r="C65" s="11">
        <f>((C64+(C71-C64)/7))</f>
        <v>894.01799999999992</v>
      </c>
      <c r="D65" s="11">
        <f>((D64+(D71-D64)/7))</f>
        <v>1141.2979999999998</v>
      </c>
      <c r="E65" s="11">
        <f>((E64+(E71-E64)/7))</f>
        <v>932.88599999999985</v>
      </c>
      <c r="F65" s="11">
        <f t="shared" si="6"/>
        <v>894.01799999999992</v>
      </c>
      <c r="G65" s="11">
        <f>((G64+(G71-G64)/7))</f>
        <v>672.49799999999993</v>
      </c>
      <c r="H65" s="11">
        <f>((H64+(H71-H64)/7))</f>
        <v>2165.8459999999995</v>
      </c>
      <c r="I65" s="11">
        <f>((I64+(I71-I64)/7))</f>
        <v>1344.99</v>
      </c>
      <c r="J65" s="11">
        <f t="shared" si="1"/>
        <v>672.49799999999993</v>
      </c>
      <c r="K65" s="8">
        <f t="shared" si="4"/>
        <v>67.25</v>
      </c>
    </row>
    <row r="66" spans="1:11" x14ac:dyDescent="0.3">
      <c r="A66" s="5">
        <v>55</v>
      </c>
      <c r="B66" s="7">
        <f>((B65+(B71-B65)/6))</f>
        <v>970.33999999999992</v>
      </c>
      <c r="C66" s="7">
        <f>((C65+(C71-C65)/6))</f>
        <v>904.62499999999989</v>
      </c>
      <c r="D66" s="7">
        <f>((D65+(D71-D65)/6))</f>
        <v>1154.8399999999997</v>
      </c>
      <c r="E66" s="7">
        <f>((E65+(E71-E65)/6))</f>
        <v>943.95499999999993</v>
      </c>
      <c r="F66" s="7">
        <f t="shared" si="6"/>
        <v>904.62499999999989</v>
      </c>
      <c r="G66" s="7">
        <f>((G65+(G71-G65)/6))</f>
        <v>679.24</v>
      </c>
      <c r="H66" s="7">
        <f>((H65+(H71-H65)/6))</f>
        <v>2187.5599999999995</v>
      </c>
      <c r="I66" s="7">
        <f>((I65+(I71-I65)/6))</f>
        <v>1358.4749999999999</v>
      </c>
      <c r="J66" s="7">
        <f t="shared" ref="J66:J125" si="7">G66</f>
        <v>679.24</v>
      </c>
      <c r="K66" s="8">
        <f t="shared" si="4"/>
        <v>67.92</v>
      </c>
    </row>
    <row r="67" spans="1:11" x14ac:dyDescent="0.3">
      <c r="A67" s="9">
        <v>56</v>
      </c>
      <c r="B67" s="11">
        <f>((B66+(B71-B66)/5))</f>
        <v>979.97199999999998</v>
      </c>
      <c r="C67" s="11">
        <f>((C66+(C71-C66)/5))</f>
        <v>915.23199999999986</v>
      </c>
      <c r="D67" s="11">
        <f>((D66+(D71-D66)/5))</f>
        <v>1168.3819999999998</v>
      </c>
      <c r="E67" s="11">
        <f>((E66+(E71-E66)/5))</f>
        <v>955.02399999999989</v>
      </c>
      <c r="F67" s="11">
        <f t="shared" si="6"/>
        <v>915.23199999999986</v>
      </c>
      <c r="G67" s="11">
        <f>((G66+(G71-G66)/5))</f>
        <v>685.98199999999997</v>
      </c>
      <c r="H67" s="11">
        <f>((H66+(H71-H66)/5))</f>
        <v>2209.2739999999994</v>
      </c>
      <c r="I67" s="11">
        <f>((I66+(I71-I66)/5))</f>
        <v>1371.96</v>
      </c>
      <c r="J67" s="11">
        <f t="shared" si="7"/>
        <v>685.98199999999997</v>
      </c>
      <c r="K67" s="8">
        <f t="shared" si="4"/>
        <v>68.599999999999994</v>
      </c>
    </row>
    <row r="68" spans="1:11" x14ac:dyDescent="0.3">
      <c r="A68" s="5">
        <v>57</v>
      </c>
      <c r="B68" s="7">
        <f>((B67+(B71-B67)/4))</f>
        <v>989.60400000000004</v>
      </c>
      <c r="C68" s="7">
        <f>((C67+(C71-C67)/4))</f>
        <v>925.83899999999994</v>
      </c>
      <c r="D68" s="7">
        <f>((D67+(D71-D67)/4))</f>
        <v>1181.924</v>
      </c>
      <c r="E68" s="7">
        <f>((E67+(E71-E67)/4))</f>
        <v>966.09299999999985</v>
      </c>
      <c r="F68" s="7">
        <f t="shared" si="6"/>
        <v>925.83899999999994</v>
      </c>
      <c r="G68" s="7">
        <f>((G67+(G71-G67)/4))</f>
        <v>692.72399999999993</v>
      </c>
      <c r="H68" s="7">
        <f>((H67+(H71-H67)/4))</f>
        <v>2230.9879999999994</v>
      </c>
      <c r="I68" s="7">
        <f>((I67+(I71-I67)/4))</f>
        <v>1385.4450000000002</v>
      </c>
      <c r="J68" s="7">
        <f t="shared" si="7"/>
        <v>692.72399999999993</v>
      </c>
      <c r="K68" s="8">
        <f t="shared" si="4"/>
        <v>69.27</v>
      </c>
    </row>
    <row r="69" spans="1:11" x14ac:dyDescent="0.3">
      <c r="A69" s="9">
        <v>58</v>
      </c>
      <c r="B69" s="11">
        <f>((B68+(B71-B68)/3))</f>
        <v>999.23599999999999</v>
      </c>
      <c r="C69" s="11">
        <f>((C68+(C71-C68)/3))</f>
        <v>936.44599999999991</v>
      </c>
      <c r="D69" s="11">
        <f>((D68+(D71-D68)/3))</f>
        <v>1195.4659999999999</v>
      </c>
      <c r="E69" s="11">
        <f>((E68+(E71-E68)/3))</f>
        <v>977.16199999999992</v>
      </c>
      <c r="F69" s="11">
        <f t="shared" si="6"/>
        <v>936.44599999999991</v>
      </c>
      <c r="G69" s="11">
        <f>((G68+(G71-G68)/3))</f>
        <v>699.46600000000001</v>
      </c>
      <c r="H69" s="11">
        <f>((H68+(H71-H68)/3))</f>
        <v>2252.7019999999998</v>
      </c>
      <c r="I69" s="11">
        <f>((I68+(I71-I68)/3))</f>
        <v>1398.93</v>
      </c>
      <c r="J69" s="11">
        <f t="shared" si="7"/>
        <v>699.46600000000001</v>
      </c>
      <c r="K69" s="8">
        <f t="shared" si="4"/>
        <v>69.95</v>
      </c>
    </row>
    <row r="70" spans="1:11" x14ac:dyDescent="0.3">
      <c r="A70" s="5">
        <v>59</v>
      </c>
      <c r="B70" s="7">
        <f>((B69+(B71-B69)/2))</f>
        <v>1008.8679999999999</v>
      </c>
      <c r="C70" s="7">
        <f>((C69+(C71-C69)/2))</f>
        <v>947.05299999999988</v>
      </c>
      <c r="D70" s="7">
        <f>((D69+(D71-D69)/2))</f>
        <v>1209.0079999999998</v>
      </c>
      <c r="E70" s="7">
        <f>((E69+(E71-E69)/2))</f>
        <v>988.23099999999999</v>
      </c>
      <c r="F70" s="7">
        <f t="shared" si="6"/>
        <v>947.05299999999988</v>
      </c>
      <c r="G70" s="7">
        <f>((G69+(G71-G69)/2))</f>
        <v>706.20800000000008</v>
      </c>
      <c r="H70" s="7">
        <f>((H69+(H71-H69)/2))</f>
        <v>2274.4160000000002</v>
      </c>
      <c r="I70" s="7">
        <f>((I69+(I71-I69)/2))</f>
        <v>1412.415</v>
      </c>
      <c r="J70" s="7">
        <f t="shared" si="7"/>
        <v>706.20800000000008</v>
      </c>
      <c r="K70" s="8">
        <f t="shared" si="4"/>
        <v>70.62</v>
      </c>
    </row>
    <row r="71" spans="1:11" ht="15.65" x14ac:dyDescent="0.3">
      <c r="A71" s="25">
        <v>60</v>
      </c>
      <c r="B71" s="26">
        <v>1018.5</v>
      </c>
      <c r="C71" s="26">
        <v>957.66</v>
      </c>
      <c r="D71" s="26">
        <v>1222.55</v>
      </c>
      <c r="E71" s="26">
        <v>999.3</v>
      </c>
      <c r="F71" s="27">
        <f t="shared" si="6"/>
        <v>957.66</v>
      </c>
      <c r="G71" s="26">
        <v>712.95</v>
      </c>
      <c r="H71" s="26">
        <v>2296.13</v>
      </c>
      <c r="I71" s="26">
        <v>1425.9</v>
      </c>
      <c r="J71" s="27">
        <f t="shared" si="7"/>
        <v>712.95</v>
      </c>
      <c r="K71" s="8">
        <f t="shared" si="4"/>
        <v>71.3</v>
      </c>
    </row>
    <row r="72" spans="1:11" x14ac:dyDescent="0.3">
      <c r="A72" s="5">
        <v>61</v>
      </c>
      <c r="B72" s="7">
        <f>((B71+(B81-B71)/10))</f>
        <v>1033.3240000000001</v>
      </c>
      <c r="C72" s="7">
        <f>((C71+(C81-C71)/10))</f>
        <v>970.80700000000002</v>
      </c>
      <c r="D72" s="7">
        <f>((D71+(D81-D71)/10))</f>
        <v>1239.3319999999999</v>
      </c>
      <c r="E72" s="7">
        <f>((E71+(E81-E71)/10))</f>
        <v>1013.0179999999999</v>
      </c>
      <c r="F72" s="7">
        <f t="shared" si="6"/>
        <v>970.80700000000002</v>
      </c>
      <c r="G72" s="7">
        <f>((G71+(G81-G71)/10))</f>
        <v>723.327</v>
      </c>
      <c r="H72" s="7">
        <f>((H71+(H81-H71)/10))</f>
        <v>2329.5500000000002</v>
      </c>
      <c r="I72" s="7">
        <f>((I71+(I81-I71)/10))</f>
        <v>1446.653</v>
      </c>
      <c r="J72" s="7">
        <f t="shared" si="7"/>
        <v>723.327</v>
      </c>
      <c r="K72" s="8">
        <f t="shared" si="4"/>
        <v>72.33</v>
      </c>
    </row>
    <row r="73" spans="1:11" x14ac:dyDescent="0.3">
      <c r="A73" s="9">
        <v>62</v>
      </c>
      <c r="B73" s="11">
        <f>((B72+(B81-B72)/9))</f>
        <v>1048.1480000000001</v>
      </c>
      <c r="C73" s="11">
        <f>((C72+(C81-C72)/9))</f>
        <v>983.95400000000006</v>
      </c>
      <c r="D73" s="11">
        <f>((D72+(D81-D72)/9))</f>
        <v>1256.1139999999998</v>
      </c>
      <c r="E73" s="11">
        <f>((E72+(E81-E72)/9))</f>
        <v>1026.7359999999999</v>
      </c>
      <c r="F73" s="11">
        <f t="shared" si="6"/>
        <v>983.95400000000006</v>
      </c>
      <c r="G73" s="11">
        <f>((G72+(G81-G72)/9))</f>
        <v>733.70399999999995</v>
      </c>
      <c r="H73" s="11">
        <f>((H72+(H81-H72)/9))</f>
        <v>2362.9700000000003</v>
      </c>
      <c r="I73" s="11">
        <f>((I72+(I81-I72)/9))</f>
        <v>1467.4059999999999</v>
      </c>
      <c r="J73" s="11">
        <f t="shared" si="7"/>
        <v>733.70399999999995</v>
      </c>
      <c r="K73" s="8">
        <f t="shared" si="4"/>
        <v>73.37</v>
      </c>
    </row>
    <row r="74" spans="1:11" x14ac:dyDescent="0.3">
      <c r="A74" s="5">
        <v>63</v>
      </c>
      <c r="B74" s="7">
        <f>((B73+(B81-B73)/8))</f>
        <v>1062.9720000000002</v>
      </c>
      <c r="C74" s="7">
        <f>((C73+(C81-C73)/8))</f>
        <v>997.10100000000011</v>
      </c>
      <c r="D74" s="7">
        <f>((D73+(D81-D73)/8))</f>
        <v>1272.8959999999997</v>
      </c>
      <c r="E74" s="7">
        <f>((E73+(E81-E73)/8))</f>
        <v>1040.454</v>
      </c>
      <c r="F74" s="7">
        <f t="shared" si="6"/>
        <v>997.10100000000011</v>
      </c>
      <c r="G74" s="7">
        <f>((G73+(G81-G73)/8))</f>
        <v>744.0809999999999</v>
      </c>
      <c r="H74" s="7">
        <f>((H73+(H81-H73)/8))</f>
        <v>2396.3900000000003</v>
      </c>
      <c r="I74" s="7">
        <f>((I73+(I81-I73)/8))</f>
        <v>1488.1589999999999</v>
      </c>
      <c r="J74" s="7">
        <f t="shared" si="7"/>
        <v>744.0809999999999</v>
      </c>
      <c r="K74" s="8">
        <f t="shared" si="4"/>
        <v>74.41</v>
      </c>
    </row>
    <row r="75" spans="1:11" x14ac:dyDescent="0.3">
      <c r="A75" s="9">
        <v>64</v>
      </c>
      <c r="B75" s="11">
        <f>((B74+(B81-B74)/7))</f>
        <v>1077.7960000000003</v>
      </c>
      <c r="C75" s="11">
        <f>((C74+(C81-C74)/7))</f>
        <v>1010.2480000000002</v>
      </c>
      <c r="D75" s="11">
        <f>((D74+(D81-D74)/7))</f>
        <v>1289.6779999999997</v>
      </c>
      <c r="E75" s="11">
        <f>((E74+(E81-E74)/7))</f>
        <v>1054.172</v>
      </c>
      <c r="F75" s="11">
        <f t="shared" si="6"/>
        <v>1010.2480000000002</v>
      </c>
      <c r="G75" s="11">
        <f>((G74+(G81-G74)/7))</f>
        <v>754.45799999999997</v>
      </c>
      <c r="H75" s="11">
        <f>((H74+(H81-H74)/7))</f>
        <v>2429.8100000000004</v>
      </c>
      <c r="I75" s="11">
        <f>((I74+(I81-I74)/7))</f>
        <v>1508.9119999999998</v>
      </c>
      <c r="J75" s="11">
        <f t="shared" si="7"/>
        <v>754.45799999999997</v>
      </c>
      <c r="K75" s="8">
        <f t="shared" ref="K75:K125" si="8">ROUND(J75/10,2)</f>
        <v>75.45</v>
      </c>
    </row>
    <row r="76" spans="1:11" x14ac:dyDescent="0.3">
      <c r="A76" s="5">
        <v>65</v>
      </c>
      <c r="B76" s="7">
        <f>((B75+(B81-B75)/6))</f>
        <v>1092.6200000000003</v>
      </c>
      <c r="C76" s="7">
        <f>((C75+(C81-C75)/6))</f>
        <v>1023.3950000000002</v>
      </c>
      <c r="D76" s="7">
        <f>((D75+(D81-D75)/6))</f>
        <v>1306.4599999999996</v>
      </c>
      <c r="E76" s="7">
        <f>((E75+(E81-E75)/6))</f>
        <v>1067.8900000000001</v>
      </c>
      <c r="F76" s="7">
        <f t="shared" si="6"/>
        <v>1023.3950000000002</v>
      </c>
      <c r="G76" s="7">
        <f>((G75+(G81-G75)/6))</f>
        <v>764.83500000000004</v>
      </c>
      <c r="H76" s="7">
        <f>((H75+(H81-H75)/6))</f>
        <v>2463.2300000000005</v>
      </c>
      <c r="I76" s="7">
        <f>((I75+(I81-I75)/6))</f>
        <v>1529.665</v>
      </c>
      <c r="J76" s="7">
        <f t="shared" si="7"/>
        <v>764.83500000000004</v>
      </c>
      <c r="K76" s="8">
        <f t="shared" si="8"/>
        <v>76.48</v>
      </c>
    </row>
    <row r="77" spans="1:11" x14ac:dyDescent="0.3">
      <c r="A77" s="9">
        <v>66</v>
      </c>
      <c r="B77" s="11">
        <f>((B76+(B81-B76)/5))</f>
        <v>1107.4440000000002</v>
      </c>
      <c r="C77" s="11">
        <f>((C76+(C81-C76)/5))</f>
        <v>1036.5420000000001</v>
      </c>
      <c r="D77" s="11">
        <f>((D76+(D81-D76)/5))</f>
        <v>1323.2419999999997</v>
      </c>
      <c r="E77" s="11">
        <f>((E76+(E81-E76)/5))</f>
        <v>1081.6080000000002</v>
      </c>
      <c r="F77" s="11">
        <f t="shared" si="6"/>
        <v>1036.5420000000001</v>
      </c>
      <c r="G77" s="11">
        <f>((G76+(G81-G76)/5))</f>
        <v>775.21199999999999</v>
      </c>
      <c r="H77" s="11">
        <f>((H76+(H81-H76)/5))</f>
        <v>2496.6500000000005</v>
      </c>
      <c r="I77" s="11">
        <f>((I76+(I81-I76)/5))</f>
        <v>1550.4179999999999</v>
      </c>
      <c r="J77" s="11">
        <f t="shared" si="7"/>
        <v>775.21199999999999</v>
      </c>
      <c r="K77" s="8">
        <f t="shared" si="8"/>
        <v>77.52</v>
      </c>
    </row>
    <row r="78" spans="1:11" x14ac:dyDescent="0.3">
      <c r="A78" s="5">
        <v>67</v>
      </c>
      <c r="B78" s="7">
        <f>((B77+(B81-B77)/4))</f>
        <v>1122.268</v>
      </c>
      <c r="C78" s="7">
        <f>((C77+(C81-C77)/4))</f>
        <v>1049.6890000000001</v>
      </c>
      <c r="D78" s="7">
        <f>((D77+(D81-D77)/4))</f>
        <v>1340.0239999999999</v>
      </c>
      <c r="E78" s="7">
        <f>((E77+(E81-E77)/4))</f>
        <v>1095.326</v>
      </c>
      <c r="F78" s="7">
        <f t="shared" si="6"/>
        <v>1049.6890000000001</v>
      </c>
      <c r="G78" s="7">
        <f>((G77+(G81-G77)/4))</f>
        <v>785.58899999999994</v>
      </c>
      <c r="H78" s="7">
        <f>((H77+(H81-H77)/4))</f>
        <v>2530.0700000000006</v>
      </c>
      <c r="I78" s="7">
        <f>((I77+(I81-I77)/4))</f>
        <v>1571.1709999999998</v>
      </c>
      <c r="J78" s="7">
        <f t="shared" si="7"/>
        <v>785.58899999999994</v>
      </c>
      <c r="K78" s="8">
        <f t="shared" si="8"/>
        <v>78.56</v>
      </c>
    </row>
    <row r="79" spans="1:11" x14ac:dyDescent="0.3">
      <c r="A79" s="9">
        <v>68</v>
      </c>
      <c r="B79" s="11">
        <f>((B78+(B81-B78)/3))</f>
        <v>1137.0920000000001</v>
      </c>
      <c r="C79" s="11">
        <f>((C78+(C81-C78)/3))</f>
        <v>1062.836</v>
      </c>
      <c r="D79" s="11">
        <f>((D78+(D81-D78)/3))</f>
        <v>1356.8059999999998</v>
      </c>
      <c r="E79" s="11">
        <f>((E78+(E81-E78)/3))</f>
        <v>1109.0440000000001</v>
      </c>
      <c r="F79" s="11">
        <f t="shared" si="6"/>
        <v>1062.836</v>
      </c>
      <c r="G79" s="11">
        <f>((G78+(G81-G78)/3))</f>
        <v>795.96600000000001</v>
      </c>
      <c r="H79" s="11">
        <f>((H78+(H81-H78)/3))</f>
        <v>2563.4900000000002</v>
      </c>
      <c r="I79" s="11">
        <f>((I78+(I81-I78)/3))</f>
        <v>1591.924</v>
      </c>
      <c r="J79" s="11">
        <f t="shared" si="7"/>
        <v>795.96600000000001</v>
      </c>
      <c r="K79" s="8">
        <f t="shared" si="8"/>
        <v>79.599999999999994</v>
      </c>
    </row>
    <row r="80" spans="1:11" ht="15.65" thickBot="1" x14ac:dyDescent="0.35">
      <c r="A80" s="12">
        <v>69</v>
      </c>
      <c r="B80" s="14">
        <f>((B79+(B81-B79)/2))</f>
        <v>1151.9160000000002</v>
      </c>
      <c r="C80" s="14">
        <f>((C79+(C81-C79)/2))</f>
        <v>1075.9830000000002</v>
      </c>
      <c r="D80" s="14">
        <f>((D79+(D81-D79)/2))</f>
        <v>1373.5879999999997</v>
      </c>
      <c r="E80" s="14">
        <f>((E79+(E81-E79)/2))</f>
        <v>1122.7620000000002</v>
      </c>
      <c r="F80" s="14">
        <f t="shared" si="6"/>
        <v>1075.9830000000002</v>
      </c>
      <c r="G80" s="14">
        <f>((G79+(G81-G79)/2))</f>
        <v>806.34300000000007</v>
      </c>
      <c r="H80" s="14">
        <f>((H79+(H81-H79)/2))</f>
        <v>2596.91</v>
      </c>
      <c r="I80" s="14">
        <f>((I79+(I81-I79)/2))</f>
        <v>1612.6770000000001</v>
      </c>
      <c r="J80" s="14">
        <f t="shared" si="7"/>
        <v>806.34300000000007</v>
      </c>
      <c r="K80" s="15">
        <f t="shared" si="8"/>
        <v>80.63</v>
      </c>
    </row>
    <row r="81" spans="1:11" ht="16.3" thickBot="1" x14ac:dyDescent="0.35">
      <c r="A81" s="19">
        <v>70</v>
      </c>
      <c r="B81" s="23">
        <v>1166.74</v>
      </c>
      <c r="C81" s="23">
        <v>1089.1300000000001</v>
      </c>
      <c r="D81" s="23">
        <v>1390.37</v>
      </c>
      <c r="E81" s="23">
        <v>1136.48</v>
      </c>
      <c r="F81" s="24">
        <f t="shared" si="6"/>
        <v>1089.1300000000001</v>
      </c>
      <c r="G81" s="23">
        <v>816.72</v>
      </c>
      <c r="H81" s="23">
        <v>2630.33</v>
      </c>
      <c r="I81" s="23">
        <v>1633.43</v>
      </c>
      <c r="J81" s="24">
        <f t="shared" si="7"/>
        <v>816.72</v>
      </c>
      <c r="K81" s="28">
        <f t="shared" si="8"/>
        <v>81.67</v>
      </c>
    </row>
    <row r="82" spans="1:11" x14ac:dyDescent="0.3">
      <c r="A82" s="5">
        <v>71</v>
      </c>
      <c r="B82" s="7">
        <f>((B81+(B91-B81)/10))</f>
        <v>1181.704</v>
      </c>
      <c r="C82" s="7">
        <f>((C81+(C91-C81)/10))</f>
        <v>1102.2810000000002</v>
      </c>
      <c r="D82" s="7">
        <f>((D81+(D91-D81)/10))</f>
        <v>1407.1589999999999</v>
      </c>
      <c r="E82" s="7">
        <f>((E81+(E91-E81)/10))</f>
        <v>1150.203</v>
      </c>
      <c r="F82" s="7">
        <f>C82</f>
        <v>1102.2810000000002</v>
      </c>
      <c r="G82" s="7">
        <f>((G81+(G91-G81)/10))</f>
        <v>827.19500000000005</v>
      </c>
      <c r="H82" s="7">
        <f>((H81+(H91-H81)/10))</f>
        <v>2664.0659999999998</v>
      </c>
      <c r="I82" s="7">
        <f>((I81+(I91-I81)/10))</f>
        <v>1654.3810000000001</v>
      </c>
      <c r="J82" s="7">
        <f t="shared" si="7"/>
        <v>827.19500000000005</v>
      </c>
      <c r="K82" s="8">
        <f t="shared" si="8"/>
        <v>82.72</v>
      </c>
    </row>
    <row r="83" spans="1:11" x14ac:dyDescent="0.3">
      <c r="A83" s="5">
        <v>72</v>
      </c>
      <c r="B83" s="7">
        <f>((B82+(B91-B82)/9))</f>
        <v>1196.6679999999999</v>
      </c>
      <c r="C83" s="7">
        <f>((C82+(C91-C82)/9))</f>
        <v>1115.4320000000002</v>
      </c>
      <c r="D83" s="7">
        <f>((D82+(D91-D82)/9))</f>
        <v>1423.9479999999999</v>
      </c>
      <c r="E83" s="7">
        <f>((E82+(E91-E82)/9))</f>
        <v>1163.9259999999999</v>
      </c>
      <c r="F83" s="7">
        <f t="shared" si="6"/>
        <v>1115.4320000000002</v>
      </c>
      <c r="G83" s="7">
        <f>((G82+(G91-G82)/9))</f>
        <v>837.67000000000007</v>
      </c>
      <c r="H83" s="7">
        <f>((H82+(H91-H82)/9))</f>
        <v>2697.8019999999997</v>
      </c>
      <c r="I83" s="7">
        <f>((I82+(I91-I82)/9))</f>
        <v>1675.3320000000001</v>
      </c>
      <c r="J83" s="7">
        <f t="shared" si="7"/>
        <v>837.67000000000007</v>
      </c>
      <c r="K83" s="8">
        <f t="shared" si="8"/>
        <v>83.77</v>
      </c>
    </row>
    <row r="84" spans="1:11" x14ac:dyDescent="0.3">
      <c r="A84" s="5">
        <v>73</v>
      </c>
      <c r="B84" s="7">
        <f>((B83+(B91-B83)/8))</f>
        <v>1211.6319999999998</v>
      </c>
      <c r="C84" s="7">
        <f>((C83+(C91-C83)/8))</f>
        <v>1128.5830000000003</v>
      </c>
      <c r="D84" s="7">
        <f>((D83+(D91-D83)/8))</f>
        <v>1440.7369999999999</v>
      </c>
      <c r="E84" s="7">
        <f>((E83+(E91-E83)/8))</f>
        <v>1177.6489999999999</v>
      </c>
      <c r="F84" s="7">
        <f t="shared" si="6"/>
        <v>1128.5830000000003</v>
      </c>
      <c r="G84" s="7">
        <f>((G83+(G91-G83)/8))</f>
        <v>848.1450000000001</v>
      </c>
      <c r="H84" s="7">
        <f>((H83+(H91-H83)/8))</f>
        <v>2731.5379999999996</v>
      </c>
      <c r="I84" s="7">
        <f>((I83+(I91-I83)/8))</f>
        <v>1696.2830000000001</v>
      </c>
      <c r="J84" s="7">
        <f t="shared" si="7"/>
        <v>848.1450000000001</v>
      </c>
      <c r="K84" s="8">
        <f t="shared" si="8"/>
        <v>84.81</v>
      </c>
    </row>
    <row r="85" spans="1:11" x14ac:dyDescent="0.3">
      <c r="A85" s="5">
        <v>74</v>
      </c>
      <c r="B85" s="7">
        <f>((B84+(B91-B84)/7))</f>
        <v>1226.5959999999998</v>
      </c>
      <c r="C85" s="7">
        <f>((C84+(C91-C84)/7))</f>
        <v>1141.7340000000004</v>
      </c>
      <c r="D85" s="7">
        <f>((D84+(D91-D84)/7))</f>
        <v>1457.5259999999998</v>
      </c>
      <c r="E85" s="7">
        <f>((E84+(E91-E84)/7))</f>
        <v>1191.3719999999998</v>
      </c>
      <c r="F85" s="7">
        <f t="shared" si="6"/>
        <v>1141.7340000000004</v>
      </c>
      <c r="G85" s="7">
        <f>((G84+(G91-G84)/7))</f>
        <v>858.62000000000012</v>
      </c>
      <c r="H85" s="7">
        <f>((H84+(H91-H84)/7))</f>
        <v>2765.2739999999994</v>
      </c>
      <c r="I85" s="7">
        <f>((I84+(I91-I84)/7))</f>
        <v>1717.2340000000002</v>
      </c>
      <c r="J85" s="7">
        <f t="shared" si="7"/>
        <v>858.62000000000012</v>
      </c>
      <c r="K85" s="8">
        <f t="shared" si="8"/>
        <v>85.86</v>
      </c>
    </row>
    <row r="86" spans="1:11" x14ac:dyDescent="0.3">
      <c r="A86" s="5">
        <v>75</v>
      </c>
      <c r="B86" s="7">
        <f>((B85+(B91-B85)/6))</f>
        <v>1241.56</v>
      </c>
      <c r="C86" s="7">
        <f>((C85+(C91-C85)/6))</f>
        <v>1154.8850000000002</v>
      </c>
      <c r="D86" s="7">
        <f>((D85+(D91-D85)/6))</f>
        <v>1474.3149999999998</v>
      </c>
      <c r="E86" s="7">
        <f>((E85+(E91-E85)/6))</f>
        <v>1205.0949999999998</v>
      </c>
      <c r="F86" s="7">
        <f t="shared" si="6"/>
        <v>1154.8850000000002</v>
      </c>
      <c r="G86" s="7">
        <f>((G85+(G91-G85)/6))</f>
        <v>869.09500000000014</v>
      </c>
      <c r="H86" s="7">
        <f>((H85+(H91-H85)/6))</f>
        <v>2799.0099999999993</v>
      </c>
      <c r="I86" s="7">
        <f>((I85+(I91-I85)/6))</f>
        <v>1738.1850000000002</v>
      </c>
      <c r="J86" s="7">
        <f t="shared" si="7"/>
        <v>869.09500000000014</v>
      </c>
      <c r="K86" s="8">
        <f t="shared" si="8"/>
        <v>86.91</v>
      </c>
    </row>
    <row r="87" spans="1:11" x14ac:dyDescent="0.3">
      <c r="A87" s="9">
        <v>76</v>
      </c>
      <c r="B87" s="11">
        <f>((B86+(B91-B86)/5))</f>
        <v>1256.5239999999999</v>
      </c>
      <c r="C87" s="11">
        <f>((C86+(C91-C86)/5))</f>
        <v>1168.0360000000003</v>
      </c>
      <c r="D87" s="11">
        <f>((D86+(D91-D86)/5))</f>
        <v>1491.1039999999998</v>
      </c>
      <c r="E87" s="11">
        <f>((E86+(E91-E86)/5))</f>
        <v>1218.8179999999998</v>
      </c>
      <c r="F87" s="11">
        <f t="shared" si="6"/>
        <v>1168.0360000000003</v>
      </c>
      <c r="G87" s="11">
        <f>((G86+(G91-G86)/5))</f>
        <v>879.57000000000016</v>
      </c>
      <c r="H87" s="11">
        <f>((H86+(H91-H86)/5))</f>
        <v>2832.7459999999996</v>
      </c>
      <c r="I87" s="11">
        <f>((I86+(I91-I86)/5))</f>
        <v>1759.1360000000002</v>
      </c>
      <c r="J87" s="11">
        <f t="shared" si="7"/>
        <v>879.57000000000016</v>
      </c>
      <c r="K87" s="8">
        <f t="shared" si="8"/>
        <v>87.96</v>
      </c>
    </row>
    <row r="88" spans="1:11" x14ac:dyDescent="0.3">
      <c r="A88" s="9">
        <v>77</v>
      </c>
      <c r="B88" s="11">
        <f>((B87+(B91-B87)/4))</f>
        <v>1271.4879999999998</v>
      </c>
      <c r="C88" s="11">
        <f>((C87+(C91-C87)/4))</f>
        <v>1181.1870000000004</v>
      </c>
      <c r="D88" s="11">
        <f>((D87+(D91-D87)/4))</f>
        <v>1507.8929999999998</v>
      </c>
      <c r="E88" s="11">
        <f>((E87+(E91-E87)/4))</f>
        <v>1232.5409999999997</v>
      </c>
      <c r="F88" s="11">
        <f t="shared" si="6"/>
        <v>1181.1870000000004</v>
      </c>
      <c r="G88" s="11">
        <f>((G87+(G91-G87)/4))</f>
        <v>890.04500000000007</v>
      </c>
      <c r="H88" s="11">
        <f>((H87+(H91-H87)/4))</f>
        <v>2866.482</v>
      </c>
      <c r="I88" s="11">
        <f>((I87+(I91-I87)/4))</f>
        <v>1780.0870000000002</v>
      </c>
      <c r="J88" s="11">
        <f t="shared" si="7"/>
        <v>890.04500000000007</v>
      </c>
      <c r="K88" s="8">
        <f t="shared" si="8"/>
        <v>89</v>
      </c>
    </row>
    <row r="89" spans="1:11" x14ac:dyDescent="0.3">
      <c r="A89" s="9">
        <v>78</v>
      </c>
      <c r="B89" s="11">
        <f>((B88+(B91-B88)/3))</f>
        <v>1286.452</v>
      </c>
      <c r="C89" s="11">
        <f>((C88+(C91-C88)/3))</f>
        <v>1194.3380000000002</v>
      </c>
      <c r="D89" s="11">
        <f>((D88+(D91-D88)/3))</f>
        <v>1524.6819999999998</v>
      </c>
      <c r="E89" s="11">
        <f>((E88+(E91-E88)/3))</f>
        <v>1246.2639999999999</v>
      </c>
      <c r="F89" s="11">
        <f t="shared" si="6"/>
        <v>1194.3380000000002</v>
      </c>
      <c r="G89" s="11">
        <f>((G88+(G91-G88)/3))</f>
        <v>900.5200000000001</v>
      </c>
      <c r="H89" s="11">
        <f>((H88+(H91-H88)/3))</f>
        <v>2900.2179999999998</v>
      </c>
      <c r="I89" s="11">
        <f>((I88+(I91-I88)/3))</f>
        <v>1801.0380000000002</v>
      </c>
      <c r="J89" s="11">
        <f t="shared" si="7"/>
        <v>900.5200000000001</v>
      </c>
      <c r="K89" s="8">
        <f t="shared" si="8"/>
        <v>90.05</v>
      </c>
    </row>
    <row r="90" spans="1:11" ht="15.65" thickBot="1" x14ac:dyDescent="0.35">
      <c r="A90" s="16">
        <v>79</v>
      </c>
      <c r="B90" s="18">
        <f>((B89+(B91-B89)/2))</f>
        <v>1301.4160000000002</v>
      </c>
      <c r="C90" s="18">
        <f>((C89+(C91-C89)/2))</f>
        <v>1207.489</v>
      </c>
      <c r="D90" s="18">
        <f>((D89+(D91-D89)/2))</f>
        <v>1541.471</v>
      </c>
      <c r="E90" s="18">
        <f>((E89+(E91-E89)/2))</f>
        <v>1259.9870000000001</v>
      </c>
      <c r="F90" s="18">
        <f t="shared" si="6"/>
        <v>1207.489</v>
      </c>
      <c r="G90" s="18">
        <f>((G89+(G91-G89)/2))</f>
        <v>910.99500000000012</v>
      </c>
      <c r="H90" s="18">
        <f>((H89+(H91-H89)/2))</f>
        <v>2933.9539999999997</v>
      </c>
      <c r="I90" s="18">
        <f>((I89+(I91-I89)/2))</f>
        <v>1821.989</v>
      </c>
      <c r="J90" s="18">
        <f t="shared" si="7"/>
        <v>910.99500000000012</v>
      </c>
      <c r="K90" s="15">
        <f t="shared" si="8"/>
        <v>91.1</v>
      </c>
    </row>
    <row r="91" spans="1:11" ht="16.3" thickBot="1" x14ac:dyDescent="0.35">
      <c r="A91" s="19">
        <v>80</v>
      </c>
      <c r="B91" s="23">
        <v>1316.38</v>
      </c>
      <c r="C91" s="23">
        <v>1220.6400000000001</v>
      </c>
      <c r="D91" s="23">
        <v>1558.26</v>
      </c>
      <c r="E91" s="23">
        <v>1273.71</v>
      </c>
      <c r="F91" s="24">
        <f t="shared" si="6"/>
        <v>1220.6400000000001</v>
      </c>
      <c r="G91" s="23">
        <v>921.47</v>
      </c>
      <c r="H91" s="23">
        <v>2967.69</v>
      </c>
      <c r="I91" s="23">
        <v>1842.94</v>
      </c>
      <c r="J91" s="24">
        <f t="shared" si="7"/>
        <v>921.47</v>
      </c>
      <c r="K91" s="22">
        <f t="shared" si="8"/>
        <v>92.15</v>
      </c>
    </row>
    <row r="92" spans="1:11" x14ac:dyDescent="0.3">
      <c r="A92" s="5">
        <v>81</v>
      </c>
      <c r="B92" s="7">
        <f>((B91+(B101-B91)/10))</f>
        <v>1331.49</v>
      </c>
      <c r="C92" s="7">
        <f>((C91+(C101-C91)/10))</f>
        <v>1233.7820000000002</v>
      </c>
      <c r="D92" s="7">
        <f>((D91+(D101-D91)/10))</f>
        <v>1575.037</v>
      </c>
      <c r="E92" s="7">
        <f>((E91+(E101-E91)/10))</f>
        <v>1287.424</v>
      </c>
      <c r="F92" s="7">
        <f t="shared" ref="F92:F120" si="9">C92</f>
        <v>1233.7820000000002</v>
      </c>
      <c r="G92" s="7">
        <f>((G91+(G101-G91)/10))</f>
        <v>932.04700000000003</v>
      </c>
      <c r="H92" s="7">
        <f>((H91+(H101-H91)/10))</f>
        <v>3001.7539999999999</v>
      </c>
      <c r="I92" s="7">
        <f>((I91+(I101-I91)/10))</f>
        <v>1864.0930000000001</v>
      </c>
      <c r="J92" s="7">
        <f t="shared" si="7"/>
        <v>932.04700000000003</v>
      </c>
      <c r="K92" s="8">
        <f t="shared" si="8"/>
        <v>93.2</v>
      </c>
    </row>
    <row r="93" spans="1:11" x14ac:dyDescent="0.3">
      <c r="A93" s="9">
        <v>82</v>
      </c>
      <c r="B93" s="11">
        <f>((B92+(B101-B92)/9))</f>
        <v>1346.6</v>
      </c>
      <c r="C93" s="11">
        <f>((C92+(C101-C92)/9))</f>
        <v>1246.9240000000002</v>
      </c>
      <c r="D93" s="11">
        <f>((D92+(D101-D92)/9))</f>
        <v>1591.8140000000001</v>
      </c>
      <c r="E93" s="11">
        <f>((E92+(E101-E92)/9))</f>
        <v>1301.1379999999999</v>
      </c>
      <c r="F93" s="11">
        <f t="shared" si="9"/>
        <v>1246.9240000000002</v>
      </c>
      <c r="G93" s="11">
        <f>((G92+(G101-G92)/9))</f>
        <v>942.62400000000002</v>
      </c>
      <c r="H93" s="11">
        <f>((H92+(H101-H92)/9))</f>
        <v>3035.8179999999998</v>
      </c>
      <c r="I93" s="11">
        <f>((I92+(I101-I92)/9))</f>
        <v>1885.2460000000001</v>
      </c>
      <c r="J93" s="11">
        <f t="shared" si="7"/>
        <v>942.62400000000002</v>
      </c>
      <c r="K93" s="8">
        <f t="shared" si="8"/>
        <v>94.26</v>
      </c>
    </row>
    <row r="94" spans="1:11" x14ac:dyDescent="0.3">
      <c r="A94" s="9">
        <v>83</v>
      </c>
      <c r="B94" s="11">
        <f>((B93+(B101-B93)/8))</f>
        <v>1361.71</v>
      </c>
      <c r="C94" s="11">
        <f>((C93+(C101-C93)/8))</f>
        <v>1260.0660000000003</v>
      </c>
      <c r="D94" s="11">
        <f>((D93+(D101-D93)/8))</f>
        <v>1608.5910000000001</v>
      </c>
      <c r="E94" s="11">
        <f>((E93+(E101-E93)/8))</f>
        <v>1314.8519999999999</v>
      </c>
      <c r="F94" s="11">
        <f t="shared" si="9"/>
        <v>1260.0660000000003</v>
      </c>
      <c r="G94" s="11">
        <f>((G93+(G101-G93)/8))</f>
        <v>953.20100000000002</v>
      </c>
      <c r="H94" s="11">
        <f>((H93+(H101-H93)/8))</f>
        <v>3069.8819999999996</v>
      </c>
      <c r="I94" s="11">
        <f>((I93+(I101-I93)/8))</f>
        <v>1906.3990000000001</v>
      </c>
      <c r="J94" s="11">
        <f t="shared" si="7"/>
        <v>953.20100000000002</v>
      </c>
      <c r="K94" s="8">
        <f t="shared" si="8"/>
        <v>95.32</v>
      </c>
    </row>
    <row r="95" spans="1:11" x14ac:dyDescent="0.3">
      <c r="A95" s="9">
        <v>84</v>
      </c>
      <c r="B95" s="11">
        <f>((B94+(B101-B94)/7))</f>
        <v>1376.82</v>
      </c>
      <c r="C95" s="11">
        <f>((C94+(C101-C94)/7))</f>
        <v>1273.2080000000003</v>
      </c>
      <c r="D95" s="11">
        <f>((D94+(D101-D94)/7))</f>
        <v>1625.3680000000002</v>
      </c>
      <c r="E95" s="11">
        <f>((E94+(E101-E94)/7))</f>
        <v>1328.5659999999998</v>
      </c>
      <c r="F95" s="11">
        <f t="shared" si="9"/>
        <v>1273.2080000000003</v>
      </c>
      <c r="G95" s="11">
        <f>((G94+(G101-G94)/7))</f>
        <v>963.77800000000002</v>
      </c>
      <c r="H95" s="11">
        <f>((H94+(H101-H94)/7))</f>
        <v>3103.9459999999995</v>
      </c>
      <c r="I95" s="11">
        <f>((I94+(I101-I94)/7))</f>
        <v>1927.5520000000001</v>
      </c>
      <c r="J95" s="11">
        <f t="shared" si="7"/>
        <v>963.77800000000002</v>
      </c>
      <c r="K95" s="8">
        <f t="shared" si="8"/>
        <v>96.38</v>
      </c>
    </row>
    <row r="96" spans="1:11" x14ac:dyDescent="0.3">
      <c r="A96" s="9">
        <v>85</v>
      </c>
      <c r="B96" s="11">
        <f>((B95+(B101-B95)/6))</f>
        <v>1391.9299999999998</v>
      </c>
      <c r="C96" s="11">
        <f>((C95+(C101-C95)/6))</f>
        <v>1286.3500000000004</v>
      </c>
      <c r="D96" s="11">
        <f>((D95+(D101-D95)/6))</f>
        <v>1642.1450000000002</v>
      </c>
      <c r="E96" s="11">
        <f>((E95+(E101-E95)/6))</f>
        <v>1342.2799999999997</v>
      </c>
      <c r="F96" s="11">
        <f t="shared" si="9"/>
        <v>1286.3500000000004</v>
      </c>
      <c r="G96" s="11">
        <f>((G95+(G101-G95)/6))</f>
        <v>974.35500000000002</v>
      </c>
      <c r="H96" s="11">
        <f>((H95+(H101-H95)/6))</f>
        <v>3138.0099999999993</v>
      </c>
      <c r="I96" s="11">
        <f>((I95+(I101-I95)/6))</f>
        <v>1948.7050000000002</v>
      </c>
      <c r="J96" s="11">
        <f t="shared" si="7"/>
        <v>974.35500000000002</v>
      </c>
      <c r="K96" s="8">
        <f t="shared" si="8"/>
        <v>97.44</v>
      </c>
    </row>
    <row r="97" spans="1:11" x14ac:dyDescent="0.3">
      <c r="A97" s="9">
        <v>86</v>
      </c>
      <c r="B97" s="11">
        <f>((B96+(B101-B96)/5))</f>
        <v>1407.04</v>
      </c>
      <c r="C97" s="11">
        <f>((C96+(C101-C96)/5))</f>
        <v>1299.4920000000002</v>
      </c>
      <c r="D97" s="11">
        <f>((D96+(D101-D96)/5))</f>
        <v>1658.9220000000003</v>
      </c>
      <c r="E97" s="11">
        <f>((E96+(E101-E96)/5))</f>
        <v>1355.9939999999997</v>
      </c>
      <c r="F97" s="11">
        <f t="shared" si="9"/>
        <v>1299.4920000000002</v>
      </c>
      <c r="G97" s="11">
        <f>((G96+(G101-G96)/5))</f>
        <v>984.93200000000002</v>
      </c>
      <c r="H97" s="11">
        <f>((H96+(H101-H96)/5))</f>
        <v>3172.0739999999996</v>
      </c>
      <c r="I97" s="11">
        <f>((I96+(I101-I96)/5))</f>
        <v>1969.8580000000002</v>
      </c>
      <c r="J97" s="11">
        <f t="shared" si="7"/>
        <v>984.93200000000002</v>
      </c>
      <c r="K97" s="8">
        <f t="shared" si="8"/>
        <v>98.49</v>
      </c>
    </row>
    <row r="98" spans="1:11" x14ac:dyDescent="0.3">
      <c r="A98" s="9">
        <v>87</v>
      </c>
      <c r="B98" s="11">
        <f>((B97+(B101-B97)/4))</f>
        <v>1422.15</v>
      </c>
      <c r="C98" s="11">
        <f>((C97+(C101-C97)/4))</f>
        <v>1312.634</v>
      </c>
      <c r="D98" s="11">
        <f>((D97+(D101-D97)/4))</f>
        <v>1675.6990000000001</v>
      </c>
      <c r="E98" s="11">
        <f>((E97+(E101-E97)/4))</f>
        <v>1369.7079999999996</v>
      </c>
      <c r="F98" s="11">
        <f t="shared" si="9"/>
        <v>1312.634</v>
      </c>
      <c r="G98" s="11">
        <f>((G97+(G101-G97)/4))</f>
        <v>995.50900000000001</v>
      </c>
      <c r="H98" s="11">
        <f>((H97+(H101-H97)/4))</f>
        <v>3206.1379999999999</v>
      </c>
      <c r="I98" s="11">
        <f>((I97+(I101-I97)/4))</f>
        <v>1991.011</v>
      </c>
      <c r="J98" s="11">
        <f t="shared" si="7"/>
        <v>995.50900000000001</v>
      </c>
      <c r="K98" s="8">
        <f t="shared" si="8"/>
        <v>99.55</v>
      </c>
    </row>
    <row r="99" spans="1:11" x14ac:dyDescent="0.3">
      <c r="A99" s="9">
        <v>88</v>
      </c>
      <c r="B99" s="11">
        <f>((B98+(B101-B98)/3))</f>
        <v>1437.26</v>
      </c>
      <c r="C99" s="11">
        <f>((C98+(C101-C98)/3))</f>
        <v>1325.7760000000001</v>
      </c>
      <c r="D99" s="11">
        <f>((D98+(D101-D98)/3))</f>
        <v>1692.4760000000001</v>
      </c>
      <c r="E99" s="11">
        <f>((E98+(E101-E98)/3))</f>
        <v>1383.4219999999998</v>
      </c>
      <c r="F99" s="11">
        <f t="shared" si="9"/>
        <v>1325.7760000000001</v>
      </c>
      <c r="G99" s="11">
        <f>((G98+(G101-G98)/3))</f>
        <v>1006.086</v>
      </c>
      <c r="H99" s="11">
        <f>((H98+(H101-H98)/3))</f>
        <v>3240.2019999999998</v>
      </c>
      <c r="I99" s="11">
        <f>((I98+(I101-I98)/3))</f>
        <v>2012.164</v>
      </c>
      <c r="J99" s="11">
        <f t="shared" si="7"/>
        <v>1006.086</v>
      </c>
      <c r="K99" s="8">
        <f t="shared" si="8"/>
        <v>100.61</v>
      </c>
    </row>
    <row r="100" spans="1:11" ht="15.65" thickBot="1" x14ac:dyDescent="0.35">
      <c r="A100" s="16">
        <v>89</v>
      </c>
      <c r="B100" s="18">
        <f>((B99+(B101-B99)/2))</f>
        <v>1452.37</v>
      </c>
      <c r="C100" s="18">
        <f>((C99+(C101-C99)/2))</f>
        <v>1338.9180000000001</v>
      </c>
      <c r="D100" s="18">
        <f>((D99+(D101-D99)/2))</f>
        <v>1709.2530000000002</v>
      </c>
      <c r="E100" s="18">
        <f>((E99+(E101-E99)/2))</f>
        <v>1397.136</v>
      </c>
      <c r="F100" s="18">
        <f t="shared" si="9"/>
        <v>1338.9180000000001</v>
      </c>
      <c r="G100" s="18">
        <f>((G99+(G101-G99)/2))</f>
        <v>1016.663</v>
      </c>
      <c r="H100" s="18">
        <f>((H99+(H101-H99)/2))</f>
        <v>3274.2659999999996</v>
      </c>
      <c r="I100" s="18">
        <f>((I99+(I101-I99)/2))</f>
        <v>2033.317</v>
      </c>
      <c r="J100" s="18">
        <f t="shared" si="7"/>
        <v>1016.663</v>
      </c>
      <c r="K100" s="15">
        <f t="shared" si="8"/>
        <v>101.67</v>
      </c>
    </row>
    <row r="101" spans="1:11" ht="16.3" thickBot="1" x14ac:dyDescent="0.35">
      <c r="A101" s="19">
        <v>90</v>
      </c>
      <c r="B101" s="23">
        <v>1467.48</v>
      </c>
      <c r="C101" s="23">
        <v>1352.06</v>
      </c>
      <c r="D101" s="23">
        <v>1726.03</v>
      </c>
      <c r="E101" s="23">
        <v>1410.85</v>
      </c>
      <c r="F101" s="24">
        <f t="shared" si="9"/>
        <v>1352.06</v>
      </c>
      <c r="G101" s="23">
        <v>1027.24</v>
      </c>
      <c r="H101" s="23">
        <v>3308.33</v>
      </c>
      <c r="I101" s="23">
        <v>2054.4699999999998</v>
      </c>
      <c r="J101" s="24">
        <f t="shared" si="7"/>
        <v>1027.24</v>
      </c>
      <c r="K101" s="22">
        <f t="shared" si="8"/>
        <v>102.72</v>
      </c>
    </row>
    <row r="102" spans="1:11" x14ac:dyDescent="0.3">
      <c r="A102" s="5">
        <v>91</v>
      </c>
      <c r="B102" s="7">
        <f>((B101+(B111-B101)/10))</f>
        <v>1482.347</v>
      </c>
      <c r="C102" s="7">
        <f>((C101+(C111-C101)/10))</f>
        <v>1365.22</v>
      </c>
      <c r="D102" s="7">
        <f>((D101+(D111-D101)/10))</f>
        <v>1742.83</v>
      </c>
      <c r="E102" s="7">
        <f>((E101+(E111-E101)/10))</f>
        <v>1424.5819999999999</v>
      </c>
      <c r="F102" s="7">
        <f t="shared" si="9"/>
        <v>1365.22</v>
      </c>
      <c r="G102" s="7">
        <f>((G101+(G111-G101)/10))</f>
        <v>1037.6469999999999</v>
      </c>
      <c r="H102" s="7">
        <f>((H101+(H111-H101)/10))</f>
        <v>3341.846</v>
      </c>
      <c r="I102" s="7">
        <f>((I101+(I111-I101)/10))</f>
        <v>2075.2839999999997</v>
      </c>
      <c r="J102" s="7">
        <f t="shared" si="7"/>
        <v>1037.6469999999999</v>
      </c>
      <c r="K102" s="8">
        <f t="shared" si="8"/>
        <v>103.76</v>
      </c>
    </row>
    <row r="103" spans="1:11" x14ac:dyDescent="0.3">
      <c r="A103" s="9">
        <v>92</v>
      </c>
      <c r="B103" s="11">
        <f>((B102+(B111-B102)/9))</f>
        <v>1497.2139999999999</v>
      </c>
      <c r="C103" s="11">
        <f>((C102+(C111-C102)/9))</f>
        <v>1378.38</v>
      </c>
      <c r="D103" s="11">
        <f>((D102+(D111-D102)/9))</f>
        <v>1759.6299999999999</v>
      </c>
      <c r="E103" s="11">
        <f>((E102+(E111-E102)/9))</f>
        <v>1438.3139999999999</v>
      </c>
      <c r="F103" s="11">
        <f t="shared" si="9"/>
        <v>1378.38</v>
      </c>
      <c r="G103" s="11">
        <f>((G102+(G111-G102)/9))</f>
        <v>1048.0539999999999</v>
      </c>
      <c r="H103" s="11">
        <f>((H102+(H111-H102)/9))</f>
        <v>3375.3620000000001</v>
      </c>
      <c r="I103" s="11">
        <f>((I102+(I111-I102)/9))</f>
        <v>2096.0979999999995</v>
      </c>
      <c r="J103" s="11">
        <f t="shared" si="7"/>
        <v>1048.0539999999999</v>
      </c>
      <c r="K103" s="8">
        <f t="shared" si="8"/>
        <v>104.81</v>
      </c>
    </row>
    <row r="104" spans="1:11" x14ac:dyDescent="0.3">
      <c r="A104" s="9">
        <v>93</v>
      </c>
      <c r="B104" s="11">
        <f>((B103+(B111-B103)/8))</f>
        <v>1512.0809999999999</v>
      </c>
      <c r="C104" s="11">
        <f>((C103+(C111-C103)/8))</f>
        <v>1391.5400000000002</v>
      </c>
      <c r="D104" s="11">
        <f>((D103+(D111-D103)/8))</f>
        <v>1776.4299999999998</v>
      </c>
      <c r="E104" s="11">
        <f>((E103+(E111-E103)/8))</f>
        <v>1452.0459999999998</v>
      </c>
      <c r="F104" s="11">
        <f t="shared" si="9"/>
        <v>1391.5400000000002</v>
      </c>
      <c r="G104" s="11">
        <f>((G103+(G111-G103)/8))</f>
        <v>1058.4609999999998</v>
      </c>
      <c r="H104" s="11">
        <f>((H103+(H111-H103)/8))</f>
        <v>3408.8780000000002</v>
      </c>
      <c r="I104" s="11">
        <f>((I103+(I111-I103)/8))</f>
        <v>2116.9119999999994</v>
      </c>
      <c r="J104" s="11">
        <f t="shared" si="7"/>
        <v>1058.4609999999998</v>
      </c>
      <c r="K104" s="8">
        <f t="shared" si="8"/>
        <v>105.85</v>
      </c>
    </row>
    <row r="105" spans="1:11" x14ac:dyDescent="0.3">
      <c r="A105" s="9">
        <v>94</v>
      </c>
      <c r="B105" s="11">
        <f>((B104+(B111-B104)/7))</f>
        <v>1526.9479999999999</v>
      </c>
      <c r="C105" s="11">
        <f>((C104+(C111-C104)/7))</f>
        <v>1404.7000000000003</v>
      </c>
      <c r="D105" s="11">
        <f>((D104+(D111-D104)/7))</f>
        <v>1793.2299999999998</v>
      </c>
      <c r="E105" s="11">
        <f>((E104+(E111-E104)/7))</f>
        <v>1465.7779999999998</v>
      </c>
      <c r="F105" s="11">
        <f t="shared" si="9"/>
        <v>1404.7000000000003</v>
      </c>
      <c r="G105" s="11">
        <f>((G104+(G111-G104)/7))</f>
        <v>1068.8679999999997</v>
      </c>
      <c r="H105" s="11">
        <f>((H104+(H111-H104)/7))</f>
        <v>3442.3940000000002</v>
      </c>
      <c r="I105" s="11">
        <f>((I104+(I111-I104)/7))</f>
        <v>2137.7259999999997</v>
      </c>
      <c r="J105" s="11">
        <f t="shared" si="7"/>
        <v>1068.8679999999997</v>
      </c>
      <c r="K105" s="8">
        <f t="shared" si="8"/>
        <v>106.89</v>
      </c>
    </row>
    <row r="106" spans="1:11" x14ac:dyDescent="0.3">
      <c r="A106" s="9">
        <v>95</v>
      </c>
      <c r="B106" s="11">
        <f>((B105+(B111-B105)/6))</f>
        <v>1541.8149999999998</v>
      </c>
      <c r="C106" s="11">
        <f>((C105+(C111-C105)/6))</f>
        <v>1417.8600000000001</v>
      </c>
      <c r="D106" s="11">
        <f>((D105+(D111-D105)/6))</f>
        <v>1810.0299999999997</v>
      </c>
      <c r="E106" s="11">
        <f>((E105+(E111-E105)/6))</f>
        <v>1479.5099999999998</v>
      </c>
      <c r="F106" s="11">
        <f t="shared" si="9"/>
        <v>1417.8600000000001</v>
      </c>
      <c r="G106" s="11">
        <f>((G105+(G111-G105)/6))</f>
        <v>1079.2749999999996</v>
      </c>
      <c r="H106" s="11">
        <f>((H105+(H111-H105)/6))</f>
        <v>3475.9100000000003</v>
      </c>
      <c r="I106" s="11">
        <f>((I105+(I111-I105)/6))</f>
        <v>2158.54</v>
      </c>
      <c r="J106" s="11">
        <f t="shared" si="7"/>
        <v>1079.2749999999996</v>
      </c>
      <c r="K106" s="8">
        <f t="shared" si="8"/>
        <v>107.93</v>
      </c>
    </row>
    <row r="107" spans="1:11" x14ac:dyDescent="0.3">
      <c r="A107" s="9">
        <v>96</v>
      </c>
      <c r="B107" s="11">
        <f>((B106+(B111-B106)/5))</f>
        <v>1556.6819999999998</v>
      </c>
      <c r="C107" s="11">
        <f>((C106+(C111-C106)/5))</f>
        <v>1431.0200000000002</v>
      </c>
      <c r="D107" s="11">
        <f>((D106+(D111-D106)/5))</f>
        <v>1826.8299999999997</v>
      </c>
      <c r="E107" s="11">
        <f>((E106+(E111-E106)/5))</f>
        <v>1493.2419999999997</v>
      </c>
      <c r="F107" s="11">
        <f t="shared" si="9"/>
        <v>1431.0200000000002</v>
      </c>
      <c r="G107" s="11">
        <f>((G106+(G111-G106)/5))</f>
        <v>1089.6819999999998</v>
      </c>
      <c r="H107" s="11">
        <f>((H106+(H111-H106)/5))</f>
        <v>3509.4260000000004</v>
      </c>
      <c r="I107" s="11">
        <f>((I106+(I111-I106)/5))</f>
        <v>2179.3539999999998</v>
      </c>
      <c r="J107" s="11">
        <f t="shared" si="7"/>
        <v>1089.6819999999998</v>
      </c>
      <c r="K107" s="8">
        <f t="shared" si="8"/>
        <v>108.97</v>
      </c>
    </row>
    <row r="108" spans="1:11" x14ac:dyDescent="0.3">
      <c r="A108" s="9">
        <v>97</v>
      </c>
      <c r="B108" s="11">
        <f>((B107+(B111-B107)/4))</f>
        <v>1571.549</v>
      </c>
      <c r="C108" s="11">
        <f>((C107+(C111-C107)/4))</f>
        <v>1444.1800000000003</v>
      </c>
      <c r="D108" s="11">
        <f>((D107+(D111-D107)/4))</f>
        <v>1843.6299999999997</v>
      </c>
      <c r="E108" s="11">
        <f>((E107+(E111-E107)/4))</f>
        <v>1506.9739999999997</v>
      </c>
      <c r="F108" s="11">
        <f t="shared" si="9"/>
        <v>1444.1800000000003</v>
      </c>
      <c r="G108" s="11">
        <f>((G107+(G111-G107)/4))</f>
        <v>1100.0889999999999</v>
      </c>
      <c r="H108" s="11">
        <f>((H107+(H111-H107)/4))</f>
        <v>3542.942</v>
      </c>
      <c r="I108" s="11">
        <f>((I107+(I111-I107)/4))</f>
        <v>2200.1679999999997</v>
      </c>
      <c r="J108" s="11">
        <f t="shared" si="7"/>
        <v>1100.0889999999999</v>
      </c>
      <c r="K108" s="8">
        <f t="shared" si="8"/>
        <v>110.01</v>
      </c>
    </row>
    <row r="109" spans="1:11" x14ac:dyDescent="0.3">
      <c r="A109" s="9">
        <v>98</v>
      </c>
      <c r="B109" s="11">
        <f>((B108+(B111-B108)/3))</f>
        <v>1586.4159999999999</v>
      </c>
      <c r="C109" s="11">
        <f>((C108+(C111-C108)/3))</f>
        <v>1457.3400000000001</v>
      </c>
      <c r="D109" s="11">
        <f>((D108+(D111-D108)/3))</f>
        <v>1860.4299999999998</v>
      </c>
      <c r="E109" s="11">
        <f>((E108+(E111-E108)/3))</f>
        <v>1520.7059999999999</v>
      </c>
      <c r="F109" s="11">
        <f t="shared" si="9"/>
        <v>1457.3400000000001</v>
      </c>
      <c r="G109" s="11">
        <f>((G108+(G111-G108)/3))</f>
        <v>1110.4959999999999</v>
      </c>
      <c r="H109" s="11">
        <f>((H108+(H111-H108)/3))</f>
        <v>3576.4580000000001</v>
      </c>
      <c r="I109" s="11">
        <f>((I108+(I111-I108)/3))</f>
        <v>2220.982</v>
      </c>
      <c r="J109" s="11">
        <f t="shared" si="7"/>
        <v>1110.4959999999999</v>
      </c>
      <c r="K109" s="8">
        <f t="shared" si="8"/>
        <v>111.05</v>
      </c>
    </row>
    <row r="110" spans="1:11" ht="15.65" thickBot="1" x14ac:dyDescent="0.35">
      <c r="A110" s="16">
        <v>99</v>
      </c>
      <c r="B110" s="18">
        <f>((B109+(B111-B109)/2))</f>
        <v>1601.2829999999999</v>
      </c>
      <c r="C110" s="18">
        <f>((C109+(C111-C109)/2))</f>
        <v>1470.5</v>
      </c>
      <c r="D110" s="18">
        <f>((D109+(D111-D109)/2))</f>
        <v>1877.23</v>
      </c>
      <c r="E110" s="18">
        <f>((E109+(E111-E109)/2))</f>
        <v>1534.4380000000001</v>
      </c>
      <c r="F110" s="18">
        <f t="shared" si="9"/>
        <v>1470.5</v>
      </c>
      <c r="G110" s="18">
        <f>((G109+(G111-G109)/2))</f>
        <v>1120.9029999999998</v>
      </c>
      <c r="H110" s="18">
        <f>((H109+(H111-H109)/2))</f>
        <v>3609.9740000000002</v>
      </c>
      <c r="I110" s="18">
        <f>((I109+(I111-I109)/2))</f>
        <v>2241.7960000000003</v>
      </c>
      <c r="J110" s="18">
        <f t="shared" si="7"/>
        <v>1120.9029999999998</v>
      </c>
      <c r="K110" s="15">
        <f t="shared" si="8"/>
        <v>112.09</v>
      </c>
    </row>
    <row r="111" spans="1:11" ht="16.3" thickBot="1" x14ac:dyDescent="0.35">
      <c r="A111" s="19">
        <v>100</v>
      </c>
      <c r="B111" s="23">
        <v>1616.15</v>
      </c>
      <c r="C111" s="23">
        <v>1483.66</v>
      </c>
      <c r="D111" s="23">
        <v>1894.03</v>
      </c>
      <c r="E111" s="23">
        <v>1548.17</v>
      </c>
      <c r="F111" s="24">
        <f t="shared" si="9"/>
        <v>1483.66</v>
      </c>
      <c r="G111" s="23">
        <v>1131.31</v>
      </c>
      <c r="H111" s="23">
        <v>3643.49</v>
      </c>
      <c r="I111" s="23">
        <v>2262.61</v>
      </c>
      <c r="J111" s="24">
        <f t="shared" si="7"/>
        <v>1131.31</v>
      </c>
      <c r="K111" s="22">
        <f t="shared" si="8"/>
        <v>113.13</v>
      </c>
    </row>
    <row r="112" spans="1:11" ht="16.3" thickBot="1" x14ac:dyDescent="0.35">
      <c r="A112" s="19">
        <v>125</v>
      </c>
      <c r="B112" s="23">
        <v>1789.92</v>
      </c>
      <c r="C112" s="23">
        <v>1716.86</v>
      </c>
      <c r="D112" s="23">
        <v>2191.7399999999998</v>
      </c>
      <c r="E112" s="23">
        <v>1791.51</v>
      </c>
      <c r="F112" s="24">
        <f t="shared" si="9"/>
        <v>1716.86</v>
      </c>
      <c r="G112" s="23">
        <v>1252.95</v>
      </c>
      <c r="H112" s="23">
        <v>4035.26</v>
      </c>
      <c r="I112" s="23">
        <v>2505.89</v>
      </c>
      <c r="J112" s="24">
        <f t="shared" si="7"/>
        <v>1252.95</v>
      </c>
      <c r="K112" s="22">
        <f t="shared" si="8"/>
        <v>125.3</v>
      </c>
    </row>
    <row r="113" spans="1:11" ht="16.3" thickBot="1" x14ac:dyDescent="0.35">
      <c r="A113" s="19">
        <v>150</v>
      </c>
      <c r="B113" s="23">
        <v>2123.25</v>
      </c>
      <c r="C113" s="23">
        <v>2026.59</v>
      </c>
      <c r="D113" s="23">
        <v>2587.13</v>
      </c>
      <c r="E113" s="23">
        <v>2114.6999999999998</v>
      </c>
      <c r="F113" s="24">
        <f t="shared" si="9"/>
        <v>2026.59</v>
      </c>
      <c r="G113" s="23">
        <v>1486.28</v>
      </c>
      <c r="H113" s="23">
        <v>4786.71</v>
      </c>
      <c r="I113" s="23">
        <v>2972.55</v>
      </c>
      <c r="J113" s="24">
        <f t="shared" si="7"/>
        <v>1486.28</v>
      </c>
      <c r="K113" s="22">
        <f t="shared" si="8"/>
        <v>148.63</v>
      </c>
    </row>
    <row r="114" spans="1:11" ht="16.3" thickBot="1" x14ac:dyDescent="0.35">
      <c r="A114" s="19">
        <v>175</v>
      </c>
      <c r="B114" s="23">
        <v>2319.6</v>
      </c>
      <c r="C114" s="23">
        <v>2269.31</v>
      </c>
      <c r="D114" s="23">
        <v>2896.99</v>
      </c>
      <c r="E114" s="23">
        <v>2367.9699999999998</v>
      </c>
      <c r="F114" s="24">
        <f t="shared" si="9"/>
        <v>2269.31</v>
      </c>
      <c r="G114" s="23">
        <v>1623.72</v>
      </c>
      <c r="H114" s="23">
        <v>5229.37</v>
      </c>
      <c r="I114" s="23">
        <v>3247.44</v>
      </c>
      <c r="J114" s="24">
        <f t="shared" si="7"/>
        <v>1623.72</v>
      </c>
      <c r="K114" s="22">
        <f t="shared" si="8"/>
        <v>162.37</v>
      </c>
    </row>
    <row r="115" spans="1:11" ht="16.3" thickBot="1" x14ac:dyDescent="0.35">
      <c r="A115" s="19">
        <v>200</v>
      </c>
      <c r="B115" s="23">
        <v>2638.42</v>
      </c>
      <c r="C115" s="23">
        <v>2569.35</v>
      </c>
      <c r="D115" s="23">
        <v>3280.02</v>
      </c>
      <c r="E115" s="23">
        <v>2681.06</v>
      </c>
      <c r="F115" s="24">
        <f t="shared" si="9"/>
        <v>2569.35</v>
      </c>
      <c r="G115" s="23">
        <v>1846.89</v>
      </c>
      <c r="H115" s="23">
        <v>5948.13</v>
      </c>
      <c r="I115" s="23">
        <v>3693.79</v>
      </c>
      <c r="J115" s="24">
        <f t="shared" si="7"/>
        <v>1846.89</v>
      </c>
      <c r="K115" s="22">
        <f t="shared" si="8"/>
        <v>184.69</v>
      </c>
    </row>
    <row r="116" spans="1:11" ht="16.3" thickBot="1" x14ac:dyDescent="0.35">
      <c r="A116" s="19">
        <v>250</v>
      </c>
      <c r="B116" s="23">
        <v>3260.61</v>
      </c>
      <c r="C116" s="23">
        <v>3169.72</v>
      </c>
      <c r="D116" s="23">
        <v>4046.44</v>
      </c>
      <c r="E116" s="23">
        <v>3307.53</v>
      </c>
      <c r="F116" s="24">
        <f t="shared" si="9"/>
        <v>3169.72</v>
      </c>
      <c r="G116" s="23">
        <v>2282.4299999999998</v>
      </c>
      <c r="H116" s="23">
        <v>7350.82</v>
      </c>
      <c r="I116" s="23">
        <v>4564.8599999999997</v>
      </c>
      <c r="J116" s="24">
        <f t="shared" si="7"/>
        <v>2282.4299999999998</v>
      </c>
      <c r="K116" s="22">
        <f t="shared" si="8"/>
        <v>228.24</v>
      </c>
    </row>
    <row r="117" spans="1:11" ht="16.3" thickBot="1" x14ac:dyDescent="0.35">
      <c r="A117" s="19">
        <v>300</v>
      </c>
      <c r="B117" s="23">
        <v>3892.78</v>
      </c>
      <c r="C117" s="23">
        <v>3769.71</v>
      </c>
      <c r="D117" s="23">
        <v>4812.3900000000003</v>
      </c>
      <c r="E117" s="23">
        <v>3933.61</v>
      </c>
      <c r="F117" s="24">
        <f t="shared" si="9"/>
        <v>3769.71</v>
      </c>
      <c r="G117" s="23">
        <v>2724.95</v>
      </c>
      <c r="H117" s="23">
        <v>8776</v>
      </c>
      <c r="I117" s="23">
        <v>5449.89</v>
      </c>
      <c r="J117" s="24">
        <f t="shared" si="7"/>
        <v>2724.95</v>
      </c>
      <c r="K117" s="22">
        <f t="shared" si="8"/>
        <v>272.5</v>
      </c>
    </row>
    <row r="118" spans="1:11" ht="16.3" thickBot="1" x14ac:dyDescent="0.35">
      <c r="A118" s="19">
        <v>350</v>
      </c>
      <c r="B118" s="23">
        <v>4518.99</v>
      </c>
      <c r="C118" s="23">
        <v>4370.03</v>
      </c>
      <c r="D118" s="23">
        <v>5578.76</v>
      </c>
      <c r="E118" s="23">
        <v>4560.03</v>
      </c>
      <c r="F118" s="24">
        <f t="shared" si="9"/>
        <v>4370.03</v>
      </c>
      <c r="G118" s="23">
        <v>3163.29</v>
      </c>
      <c r="H118" s="23">
        <v>10187.74</v>
      </c>
      <c r="I118" s="23">
        <v>6326.59</v>
      </c>
      <c r="J118" s="24">
        <f t="shared" si="7"/>
        <v>3163.29</v>
      </c>
      <c r="K118" s="22">
        <f t="shared" si="8"/>
        <v>316.33</v>
      </c>
    </row>
    <row r="119" spans="1:11" ht="16.3" thickBot="1" x14ac:dyDescent="0.35">
      <c r="A119" s="19">
        <v>400</v>
      </c>
      <c r="B119" s="23">
        <v>5153.74</v>
      </c>
      <c r="C119" s="23">
        <v>4970.18</v>
      </c>
      <c r="D119" s="23">
        <v>6344.9</v>
      </c>
      <c r="E119" s="23">
        <v>5186.2700000000004</v>
      </c>
      <c r="F119" s="24">
        <f t="shared" si="9"/>
        <v>4970.18</v>
      </c>
      <c r="G119" s="23">
        <v>3607.62</v>
      </c>
      <c r="H119" s="23">
        <v>11618.73</v>
      </c>
      <c r="I119" s="23">
        <v>7215.23</v>
      </c>
      <c r="J119" s="24">
        <f t="shared" si="7"/>
        <v>3607.62</v>
      </c>
      <c r="K119" s="22">
        <f t="shared" si="8"/>
        <v>360.76</v>
      </c>
    </row>
    <row r="120" spans="1:11" ht="16.3" thickBot="1" x14ac:dyDescent="0.35">
      <c r="A120" s="19">
        <v>500</v>
      </c>
      <c r="B120" s="23">
        <v>6406.91</v>
      </c>
      <c r="C120" s="23">
        <v>6170.44</v>
      </c>
      <c r="D120" s="23">
        <v>7877.15</v>
      </c>
      <c r="E120" s="23">
        <v>6438.72</v>
      </c>
      <c r="F120" s="24">
        <f t="shared" si="9"/>
        <v>6170.44</v>
      </c>
      <c r="G120" s="23">
        <v>4484.84</v>
      </c>
      <c r="H120" s="23">
        <v>14443.91</v>
      </c>
      <c r="I120" s="23">
        <v>8969.67</v>
      </c>
      <c r="J120" s="24">
        <f t="shared" si="7"/>
        <v>4484.84</v>
      </c>
      <c r="K120" s="22">
        <f t="shared" si="8"/>
        <v>448.48</v>
      </c>
    </row>
    <row r="121" spans="1:11" ht="16.3" thickBot="1" x14ac:dyDescent="0.35">
      <c r="A121" s="19">
        <v>600</v>
      </c>
      <c r="B121" s="23">
        <v>7627.39</v>
      </c>
      <c r="C121" s="23"/>
      <c r="D121" s="23"/>
      <c r="E121" s="23"/>
      <c r="F121" s="24"/>
      <c r="G121" s="23">
        <v>5339.18</v>
      </c>
      <c r="H121" s="23">
        <v>17195.41</v>
      </c>
      <c r="I121" s="23">
        <v>10678.35</v>
      </c>
      <c r="J121" s="24">
        <f t="shared" si="7"/>
        <v>5339.18</v>
      </c>
      <c r="K121" s="22">
        <f t="shared" si="8"/>
        <v>533.91999999999996</v>
      </c>
    </row>
    <row r="122" spans="1:11" ht="16.3" thickBot="1" x14ac:dyDescent="0.35">
      <c r="A122" s="19">
        <v>700</v>
      </c>
      <c r="B122" s="23">
        <v>8910.2199999999993</v>
      </c>
      <c r="C122" s="23"/>
      <c r="D122" s="23"/>
      <c r="E122" s="23"/>
      <c r="F122" s="24"/>
      <c r="G122" s="23">
        <v>6237.16</v>
      </c>
      <c r="H122" s="23">
        <v>20087.46</v>
      </c>
      <c r="I122" s="23">
        <v>12474.31</v>
      </c>
      <c r="J122" s="24">
        <f t="shared" si="7"/>
        <v>6237.16</v>
      </c>
      <c r="K122" s="22">
        <f t="shared" si="8"/>
        <v>623.72</v>
      </c>
    </row>
    <row r="123" spans="1:11" ht="16.3" thickBot="1" x14ac:dyDescent="0.35">
      <c r="A123" s="19">
        <v>800</v>
      </c>
      <c r="B123" s="23">
        <v>10168</v>
      </c>
      <c r="C123" s="23"/>
      <c r="D123" s="23"/>
      <c r="E123" s="23"/>
      <c r="F123" s="24"/>
      <c r="G123" s="23">
        <v>7117.6</v>
      </c>
      <c r="H123" s="23">
        <v>22923.03</v>
      </c>
      <c r="I123" s="23">
        <v>14235.2</v>
      </c>
      <c r="J123" s="24">
        <f t="shared" si="7"/>
        <v>7117.6</v>
      </c>
      <c r="K123" s="22">
        <f t="shared" si="8"/>
        <v>711.76</v>
      </c>
    </row>
    <row r="124" spans="1:11" ht="16.3" thickBot="1" x14ac:dyDescent="0.35">
      <c r="A124" s="19">
        <v>900</v>
      </c>
      <c r="B124" s="23">
        <v>11423.51</v>
      </c>
      <c r="C124" s="23"/>
      <c r="D124" s="23"/>
      <c r="E124" s="23"/>
      <c r="F124" s="24"/>
      <c r="G124" s="23">
        <v>7996.45</v>
      </c>
      <c r="H124" s="23">
        <v>25753.48</v>
      </c>
      <c r="I124" s="23">
        <v>15992.91</v>
      </c>
      <c r="J124" s="24">
        <f t="shared" si="7"/>
        <v>7996.45</v>
      </c>
      <c r="K124" s="22">
        <f t="shared" si="8"/>
        <v>799.65</v>
      </c>
    </row>
    <row r="125" spans="1:11" ht="16.3" thickBot="1" x14ac:dyDescent="0.35">
      <c r="A125" s="19">
        <v>1000</v>
      </c>
      <c r="B125" s="23">
        <v>12678.51</v>
      </c>
      <c r="C125" s="23"/>
      <c r="D125" s="23"/>
      <c r="E125" s="23"/>
      <c r="F125" s="24"/>
      <c r="G125" s="23">
        <v>8874.9500000000007</v>
      </c>
      <c r="H125" s="23">
        <v>28582.78</v>
      </c>
      <c r="I125" s="23">
        <v>17749.91</v>
      </c>
      <c r="J125" s="24">
        <f t="shared" si="7"/>
        <v>8874.9500000000007</v>
      </c>
      <c r="K125" s="22">
        <f t="shared" si="8"/>
        <v>887.5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</dc:creator>
  <cp:lastModifiedBy>Smit</cp:lastModifiedBy>
  <dcterms:created xsi:type="dcterms:W3CDTF">2015-06-05T18:17:20Z</dcterms:created>
  <dcterms:modified xsi:type="dcterms:W3CDTF">2026-03-23T16:51:23Z</dcterms:modified>
</cp:coreProperties>
</file>